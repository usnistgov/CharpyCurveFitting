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harpy\Charpy software\Excel\Transition curve fitting\"/>
    </mc:Choice>
  </mc:AlternateContent>
  <xr:revisionPtr revIDLastSave="0" documentId="13_ncr:1_{D3DDB5E9-08FF-4238-8347-31DE768BA296}" xr6:coauthVersionLast="45" xr6:coauthVersionMax="45" xr10:uidLastSave="{00000000-0000-0000-0000-000000000000}"/>
  <bookViews>
    <workbookView xWindow="-120" yWindow="-120" windowWidth="29040" windowHeight="15990" activeTab="2" xr2:uid="{638663F5-77FD-4F98-8216-80DB27D216B7}"/>
  </bookViews>
  <sheets>
    <sheet name="AHT" sheetId="3" r:id="rId1"/>
    <sheet name="BUR" sheetId="1" r:id="rId2"/>
    <sheet name="KHT" sheetId="2" r:id="rId3"/>
  </sheets>
  <definedNames>
    <definedName name="C_ATANH">AHT!$C$42</definedName>
    <definedName name="C_Kohout">KHT!$C$42</definedName>
    <definedName name="D_ATANH">AHT!$C$43</definedName>
    <definedName name="DBTT_Burr">BUR!$E$38</definedName>
    <definedName name="DBTT_Kohout">KHT!$E$38</definedName>
    <definedName name="DBTT1_KASYM">KHT!$E$37</definedName>
    <definedName name="DBTT2_KASYM">KHT!$F$37</definedName>
    <definedName name="Fit_ATANH">AHT!$F$4:$F$35</definedName>
    <definedName name="Fit_BURR">BUR!$G$4:$G$35</definedName>
    <definedName name="Fit_KASYM">KHT!$H$4:$H$35</definedName>
    <definedName name="Fit1_KASYM">KHT!$F$4:$F$35</definedName>
    <definedName name="Fit2_KASYM">KHT!$G$4:$G$35</definedName>
    <definedName name="k">BUR!$C$42</definedName>
    <definedName name="LS">AHT!$B$38</definedName>
    <definedName name="m">BUR!$C$44</definedName>
    <definedName name="p">KHT!$C$44</definedName>
    <definedName name="Residuals_ATANH">AHT!$G$4:$G$35</definedName>
    <definedName name="Residuals_BURR">BUR!$H$4:$H$35</definedName>
    <definedName name="Residuals_KASYM">KHT!$I$4:$I$35</definedName>
    <definedName name="solver_adj" localSheetId="0" hidden="1">AHT!#REF!</definedName>
    <definedName name="solver_adj" localSheetId="1" hidden="1">BUR!$E$38</definedName>
    <definedName name="solver_adj" localSheetId="2" hidden="1">KHT!$E$38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drv" localSheetId="0" hidden="1">2</definedName>
    <definedName name="solver_drv" localSheetId="1" hidden="1">2</definedName>
    <definedName name="solver_drv" localSheetId="2" hidden="1">2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neg" localSheetId="0" hidden="1">2</definedName>
    <definedName name="solver_neg" localSheetId="1" hidden="1">2</definedName>
    <definedName name="solver_neg" localSheetId="2" hidden="1">2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um" localSheetId="0" hidden="1">0</definedName>
    <definedName name="solver_num" localSheetId="1" hidden="1">0</definedName>
    <definedName name="solver_num" localSheetId="2" hidden="1">0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opt" localSheetId="0" hidden="1">AHT!$F$40</definedName>
    <definedName name="solver_opt" localSheetId="1" hidden="1">BUR!$F$40</definedName>
    <definedName name="solver_opt" localSheetId="2" hidden="1">KHT!$F$40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rbv" localSheetId="0" hidden="1">2</definedName>
    <definedName name="solver_rbv" localSheetId="1" hidden="1">2</definedName>
    <definedName name="solver_rbv" localSheetId="2" hidden="1">2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scl" localSheetId="0" hidden="1">2</definedName>
    <definedName name="solver_scl" localSheetId="1" hidden="1">2</definedName>
    <definedName name="solver_scl" localSheetId="2" hidden="1">2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yp" localSheetId="0" hidden="1">3</definedName>
    <definedName name="solver_typ" localSheetId="1" hidden="1">3</definedName>
    <definedName name="solver_typ" localSheetId="2" hidden="1">3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1" hidden="1">3</definedName>
    <definedName name="solver_ver" localSheetId="2" hidden="1">3</definedName>
    <definedName name="T0_ATANH">AHT!$C$44</definedName>
    <definedName name="T0_Burr" localSheetId="0">AHT!$C$43</definedName>
    <definedName name="T0_Burr" localSheetId="2">BUR!$C$43</definedName>
    <definedName name="T0_Burr">BUR!$C$43</definedName>
    <definedName name="T0_Kohout">KHT!$C$43</definedName>
    <definedName name="Temperatures">AHT!$D$4:$D$35</definedName>
    <definedName name="US">AHT!$B$39</definedName>
    <definedName name="Xi_values">BUR!$F$4:$F$35</definedName>
    <definedName name="Y_DBTT" localSheetId="0">AHT!$E$39</definedName>
    <definedName name="Y_values">AHT!$E$4:$E$35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43" i="3" l="1"/>
  <c r="E35" i="2" l="1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I43" i="3" l="1"/>
  <c r="I42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G35" i="2" l="1"/>
  <c r="F35" i="2"/>
  <c r="G34" i="2"/>
  <c r="F34" i="2"/>
  <c r="G33" i="2"/>
  <c r="F33" i="2"/>
  <c r="G32" i="2"/>
  <c r="H32" i="2" s="1"/>
  <c r="I32" i="2" s="1"/>
  <c r="F32" i="2"/>
  <c r="G31" i="2"/>
  <c r="H31" i="2" s="1"/>
  <c r="I31" i="2" s="1"/>
  <c r="F31" i="2"/>
  <c r="G30" i="2"/>
  <c r="H30" i="2" s="1"/>
  <c r="I30" i="2" s="1"/>
  <c r="F30" i="2"/>
  <c r="G29" i="2"/>
  <c r="H29" i="2" s="1"/>
  <c r="I29" i="2" s="1"/>
  <c r="F29" i="2"/>
  <c r="G28" i="2"/>
  <c r="H28" i="2" s="1"/>
  <c r="I28" i="2" s="1"/>
  <c r="F28" i="2"/>
  <c r="G27" i="2"/>
  <c r="H27" i="2" s="1"/>
  <c r="I27" i="2" s="1"/>
  <c r="F27" i="2"/>
  <c r="G26" i="2"/>
  <c r="H26" i="2" s="1"/>
  <c r="I26" i="2" s="1"/>
  <c r="F26" i="2"/>
  <c r="G25" i="2"/>
  <c r="H25" i="2" s="1"/>
  <c r="I25" i="2" s="1"/>
  <c r="F25" i="2"/>
  <c r="G24" i="2"/>
  <c r="H24" i="2" s="1"/>
  <c r="I24" i="2" s="1"/>
  <c r="F24" i="2"/>
  <c r="G23" i="2"/>
  <c r="H23" i="2" s="1"/>
  <c r="I23" i="2" s="1"/>
  <c r="F23" i="2"/>
  <c r="G22" i="2"/>
  <c r="H22" i="2" s="1"/>
  <c r="I22" i="2" s="1"/>
  <c r="F22" i="2"/>
  <c r="G21" i="2"/>
  <c r="H21" i="2" s="1"/>
  <c r="I21" i="2" s="1"/>
  <c r="F21" i="2"/>
  <c r="G20" i="2"/>
  <c r="H20" i="2" s="1"/>
  <c r="I20" i="2" s="1"/>
  <c r="F20" i="2"/>
  <c r="G19" i="2"/>
  <c r="F19" i="2"/>
  <c r="B38" i="2"/>
  <c r="G35" i="1"/>
  <c r="G34" i="1"/>
  <c r="B38" i="1"/>
  <c r="F37" i="2"/>
  <c r="E37" i="2"/>
  <c r="I35" i="2"/>
  <c r="I34" i="2"/>
  <c r="H33" i="2"/>
  <c r="I33" i="2" s="1"/>
  <c r="H34" i="2"/>
  <c r="H35" i="2"/>
  <c r="E38" i="1"/>
  <c r="H34" i="1"/>
  <c r="H35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G19" i="1" s="1"/>
  <c r="H19" i="1" s="1"/>
  <c r="F20" i="1"/>
  <c r="G20" i="1" s="1"/>
  <c r="H20" i="1" s="1"/>
  <c r="F21" i="1"/>
  <c r="G21" i="1" s="1"/>
  <c r="H21" i="1" s="1"/>
  <c r="F22" i="1"/>
  <c r="G22" i="1" s="1"/>
  <c r="H22" i="1" s="1"/>
  <c r="F23" i="1"/>
  <c r="G23" i="1" s="1"/>
  <c r="H23" i="1" s="1"/>
  <c r="F24" i="1"/>
  <c r="G24" i="1" s="1"/>
  <c r="H24" i="1" s="1"/>
  <c r="F25" i="1"/>
  <c r="G25" i="1" s="1"/>
  <c r="H25" i="1" s="1"/>
  <c r="F26" i="1"/>
  <c r="G26" i="1" s="1"/>
  <c r="H26" i="1" s="1"/>
  <c r="F27" i="1"/>
  <c r="G27" i="1" s="1"/>
  <c r="H27" i="1" s="1"/>
  <c r="F28" i="1"/>
  <c r="G28" i="1" s="1"/>
  <c r="H28" i="1" s="1"/>
  <c r="F29" i="1"/>
  <c r="G29" i="1" s="1"/>
  <c r="H29" i="1" s="1"/>
  <c r="F30" i="1"/>
  <c r="G30" i="1" s="1"/>
  <c r="H30" i="1" s="1"/>
  <c r="F31" i="1"/>
  <c r="G31" i="1" s="1"/>
  <c r="H31" i="1" s="1"/>
  <c r="F32" i="1"/>
  <c r="G32" i="1" s="1"/>
  <c r="H32" i="1" s="1"/>
  <c r="F33" i="1"/>
  <c r="G33" i="1" s="1"/>
  <c r="H33" i="1" s="1"/>
  <c r="F34" i="1"/>
  <c r="F35" i="1"/>
  <c r="F4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H19" i="2" l="1"/>
  <c r="I19" i="2" s="1"/>
  <c r="E38" i="2"/>
  <c r="G40" i="2" s="1"/>
  <c r="G40" i="3"/>
  <c r="W4" i="3"/>
  <c r="W5" i="3" s="1"/>
  <c r="W6" i="3" s="1"/>
  <c r="W4" i="2"/>
  <c r="W5" i="2" s="1"/>
  <c r="G40" i="1"/>
  <c r="G39" i="1"/>
  <c r="G12" i="1" l="1"/>
  <c r="H12" i="1" s="1"/>
  <c r="B39" i="2"/>
  <c r="F18" i="3"/>
  <c r="G18" i="3" s="1"/>
  <c r="F17" i="3"/>
  <c r="G17" i="3" s="1"/>
  <c r="F16" i="3"/>
  <c r="G16" i="3" s="1"/>
  <c r="G18" i="2"/>
  <c r="H18" i="2" s="1"/>
  <c r="I18" i="2" s="1"/>
  <c r="G18" i="1"/>
  <c r="H18" i="1" s="1"/>
  <c r="F18" i="2"/>
  <c r="G17" i="1"/>
  <c r="H17" i="1" s="1"/>
  <c r="G17" i="2"/>
  <c r="G16" i="1"/>
  <c r="H16" i="1" s="1"/>
  <c r="F16" i="2"/>
  <c r="F17" i="2"/>
  <c r="G16" i="2"/>
  <c r="G7" i="1"/>
  <c r="H7" i="1" s="1"/>
  <c r="G13" i="1"/>
  <c r="H13" i="1" s="1"/>
  <c r="G4" i="1"/>
  <c r="H4" i="1" s="1"/>
  <c r="G15" i="1"/>
  <c r="H15" i="1" s="1"/>
  <c r="G6" i="1"/>
  <c r="H6" i="1" s="1"/>
  <c r="G11" i="1"/>
  <c r="H11" i="1" s="1"/>
  <c r="G14" i="1"/>
  <c r="H14" i="1" s="1"/>
  <c r="G8" i="1"/>
  <c r="H8" i="1" s="1"/>
  <c r="J43" i="3"/>
  <c r="F14" i="3"/>
  <c r="G14" i="3" s="1"/>
  <c r="F6" i="3"/>
  <c r="G6" i="3" s="1"/>
  <c r="F5" i="3"/>
  <c r="G5" i="3" s="1"/>
  <c r="F13" i="3"/>
  <c r="G13" i="3" s="1"/>
  <c r="F9" i="3"/>
  <c r="G9" i="3" s="1"/>
  <c r="F12" i="3"/>
  <c r="G12" i="3" s="1"/>
  <c r="F4" i="3"/>
  <c r="G4" i="3" s="1"/>
  <c r="F8" i="3"/>
  <c r="G8" i="3" s="1"/>
  <c r="F15" i="3"/>
  <c r="G15" i="3" s="1"/>
  <c r="F11" i="3"/>
  <c r="G11" i="3" s="1"/>
  <c r="F7" i="3"/>
  <c r="G7" i="3" s="1"/>
  <c r="F10" i="3"/>
  <c r="G10" i="3" s="1"/>
  <c r="E40" i="1"/>
  <c r="H40" i="1" s="1"/>
  <c r="Y4" i="2"/>
  <c r="G13" i="2"/>
  <c r="G9" i="2"/>
  <c r="G5" i="2"/>
  <c r="X3" i="3"/>
  <c r="F6" i="2"/>
  <c r="H40" i="2"/>
  <c r="X4" i="2"/>
  <c r="Z4" i="2" s="1"/>
  <c r="F13" i="2"/>
  <c r="F9" i="2"/>
  <c r="F5" i="2"/>
  <c r="Y5" i="2"/>
  <c r="G14" i="2"/>
  <c r="Y3" i="2"/>
  <c r="G12" i="2"/>
  <c r="G8" i="2"/>
  <c r="G4" i="2"/>
  <c r="B39" i="1"/>
  <c r="X5" i="3"/>
  <c r="X5" i="2"/>
  <c r="Z5" i="2" s="1"/>
  <c r="X3" i="2"/>
  <c r="Z3" i="2" s="1"/>
  <c r="F12" i="2"/>
  <c r="F8" i="2"/>
  <c r="F4" i="2"/>
  <c r="H4" i="2" s="1"/>
  <c r="I4" i="2" s="1"/>
  <c r="G7" i="2"/>
  <c r="F10" i="2"/>
  <c r="X4" i="3"/>
  <c r="G15" i="2"/>
  <c r="G11" i="2"/>
  <c r="G6" i="2"/>
  <c r="F14" i="2"/>
  <c r="F15" i="2"/>
  <c r="F11" i="2"/>
  <c r="F7" i="2"/>
  <c r="X6" i="3"/>
  <c r="G10" i="2"/>
  <c r="G9" i="1"/>
  <c r="H9" i="1" s="1"/>
  <c r="G5" i="1"/>
  <c r="H5" i="1" s="1"/>
  <c r="G10" i="1"/>
  <c r="H10" i="1" s="1"/>
  <c r="G39" i="2"/>
  <c r="E40" i="2"/>
  <c r="W7" i="3"/>
  <c r="X7" i="3" s="1"/>
  <c r="E40" i="3"/>
  <c r="E39" i="3"/>
  <c r="W6" i="2"/>
  <c r="Y6" i="2" s="1"/>
  <c r="X6" i="2" l="1"/>
  <c r="Z6" i="2" s="1"/>
  <c r="H17" i="2"/>
  <c r="I17" i="2" s="1"/>
  <c r="H7" i="2"/>
  <c r="I7" i="2" s="1"/>
  <c r="H5" i="2"/>
  <c r="I5" i="2" s="1"/>
  <c r="H16" i="2"/>
  <c r="I16" i="2" s="1"/>
  <c r="H13" i="2"/>
  <c r="I13" i="2" s="1"/>
  <c r="H12" i="2"/>
  <c r="I12" i="2" s="1"/>
  <c r="H10" i="2"/>
  <c r="I10" i="2" s="1"/>
  <c r="H11" i="2"/>
  <c r="I11" i="2" s="1"/>
  <c r="H14" i="2"/>
  <c r="I14" i="2" s="1"/>
  <c r="H15" i="2"/>
  <c r="I15" i="2" s="1"/>
  <c r="H6" i="2"/>
  <c r="I6" i="2" s="1"/>
  <c r="H8" i="2"/>
  <c r="I8" i="2" s="1"/>
  <c r="H9" i="2"/>
  <c r="I9" i="2" s="1"/>
  <c r="E39" i="1"/>
  <c r="E38" i="3"/>
  <c r="W8" i="3"/>
  <c r="X8" i="3" s="1"/>
  <c r="H40" i="3"/>
  <c r="F40" i="3"/>
  <c r="W7" i="2"/>
  <c r="X7" i="2" l="1"/>
  <c r="Z7" i="2" s="1"/>
  <c r="Y7" i="2"/>
  <c r="E39" i="2"/>
  <c r="W9" i="3"/>
  <c r="X9" i="3" s="1"/>
  <c r="W8" i="2"/>
  <c r="X8" i="2" l="1"/>
  <c r="Z8" i="2" s="1"/>
  <c r="Y8" i="2"/>
  <c r="W10" i="3"/>
  <c r="X10" i="3" s="1"/>
  <c r="W9" i="2"/>
  <c r="Y9" i="2" l="1"/>
  <c r="X9" i="2"/>
  <c r="Z9" i="2" s="1"/>
  <c r="W11" i="3"/>
  <c r="X11" i="3" s="1"/>
  <c r="W10" i="2"/>
  <c r="Y10" i="2" l="1"/>
  <c r="X10" i="2"/>
  <c r="Z10" i="2" s="1"/>
  <c r="W12" i="3"/>
  <c r="X12" i="3" s="1"/>
  <c r="W11" i="2"/>
  <c r="Y11" i="2" l="1"/>
  <c r="X11" i="2"/>
  <c r="Z11" i="2" s="1"/>
  <c r="W13" i="3"/>
  <c r="X13" i="3" s="1"/>
  <c r="W12" i="2"/>
  <c r="X12" i="2" l="1"/>
  <c r="Z12" i="2" s="1"/>
  <c r="Y12" i="2"/>
  <c r="W14" i="3"/>
  <c r="X14" i="3" s="1"/>
  <c r="W13" i="2"/>
  <c r="Y13" i="2" l="1"/>
  <c r="X13" i="2"/>
  <c r="Z13" i="2" s="1"/>
  <c r="W15" i="3"/>
  <c r="X15" i="3" s="1"/>
  <c r="W14" i="2"/>
  <c r="Y14" i="2" l="1"/>
  <c r="X14" i="2"/>
  <c r="Z14" i="2" s="1"/>
  <c r="W16" i="3"/>
  <c r="X16" i="3" s="1"/>
  <c r="W15" i="2"/>
  <c r="Y15" i="2" l="1"/>
  <c r="X15" i="2"/>
  <c r="Z15" i="2" s="1"/>
  <c r="W17" i="3"/>
  <c r="X17" i="3" s="1"/>
  <c r="W16" i="2"/>
  <c r="X16" i="2" l="1"/>
  <c r="Z16" i="2" s="1"/>
  <c r="Y16" i="2"/>
  <c r="W18" i="3"/>
  <c r="X18" i="3" s="1"/>
  <c r="W17" i="2"/>
  <c r="X17" i="2" l="1"/>
  <c r="Z17" i="2" s="1"/>
  <c r="Y17" i="2"/>
  <c r="F40" i="1"/>
  <c r="F40" i="2"/>
  <c r="W19" i="3"/>
  <c r="X19" i="3" s="1"/>
  <c r="W18" i="2"/>
  <c r="X4" i="1"/>
  <c r="Y4" i="1" s="1"/>
  <c r="X3" i="1"/>
  <c r="Y3" i="1" s="1"/>
  <c r="W5" i="1"/>
  <c r="W6" i="1" s="1"/>
  <c r="W7" i="1" s="1"/>
  <c r="W8" i="1" s="1"/>
  <c r="W9" i="1" s="1"/>
  <c r="W10" i="1" s="1"/>
  <c r="W11" i="1" s="1"/>
  <c r="W12" i="1" s="1"/>
  <c r="W13" i="1" s="1"/>
  <c r="W14" i="1" s="1"/>
  <c r="W15" i="1" s="1"/>
  <c r="W16" i="1" s="1"/>
  <c r="W17" i="1" s="1"/>
  <c r="W18" i="1" s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4" i="1"/>
  <c r="W39" i="1" l="1"/>
  <c r="X38" i="1"/>
  <c r="Y38" i="1" s="1"/>
  <c r="X14" i="1"/>
  <c r="Y14" i="1" s="1"/>
  <c r="X37" i="1"/>
  <c r="Y37" i="1" s="1"/>
  <c r="X29" i="1"/>
  <c r="Y29" i="1" s="1"/>
  <c r="X21" i="1"/>
  <c r="Y21" i="1" s="1"/>
  <c r="X13" i="1"/>
  <c r="Y13" i="1" s="1"/>
  <c r="X5" i="1"/>
  <c r="Y5" i="1" s="1"/>
  <c r="X36" i="1"/>
  <c r="Y36" i="1" s="1"/>
  <c r="X20" i="1"/>
  <c r="Y20" i="1" s="1"/>
  <c r="X35" i="1"/>
  <c r="Y35" i="1" s="1"/>
  <c r="X27" i="1"/>
  <c r="Y27" i="1" s="1"/>
  <c r="X19" i="1"/>
  <c r="Y19" i="1" s="1"/>
  <c r="X11" i="1"/>
  <c r="Y11" i="1" s="1"/>
  <c r="X18" i="2"/>
  <c r="Z18" i="2" s="1"/>
  <c r="Y18" i="2"/>
  <c r="X28" i="1"/>
  <c r="Y28" i="1" s="1"/>
  <c r="X12" i="1"/>
  <c r="Y12" i="1" s="1"/>
  <c r="X34" i="1"/>
  <c r="Y34" i="1" s="1"/>
  <c r="X26" i="1"/>
  <c r="Y26" i="1" s="1"/>
  <c r="X18" i="1"/>
  <c r="Y18" i="1" s="1"/>
  <c r="X10" i="1"/>
  <c r="Y10" i="1" s="1"/>
  <c r="X33" i="1"/>
  <c r="Y33" i="1" s="1"/>
  <c r="X25" i="1"/>
  <c r="Y25" i="1" s="1"/>
  <c r="X17" i="1"/>
  <c r="Y17" i="1" s="1"/>
  <c r="X9" i="1"/>
  <c r="Y9" i="1" s="1"/>
  <c r="X32" i="1"/>
  <c r="Y32" i="1" s="1"/>
  <c r="X16" i="1"/>
  <c r="Y16" i="1" s="1"/>
  <c r="X8" i="1"/>
  <c r="Y8" i="1" s="1"/>
  <c r="X24" i="1"/>
  <c r="Y24" i="1" s="1"/>
  <c r="X31" i="1"/>
  <c r="Y31" i="1" s="1"/>
  <c r="X23" i="1"/>
  <c r="Y23" i="1" s="1"/>
  <c r="X15" i="1"/>
  <c r="Y15" i="1" s="1"/>
  <c r="X7" i="1"/>
  <c r="Y7" i="1" s="1"/>
  <c r="X30" i="1"/>
  <c r="Y30" i="1" s="1"/>
  <c r="X22" i="1"/>
  <c r="Y22" i="1" s="1"/>
  <c r="X6" i="1"/>
  <c r="Y6" i="1" s="1"/>
  <c r="W20" i="3"/>
  <c r="X20" i="3" s="1"/>
  <c r="W19" i="2"/>
  <c r="Y19" i="2" l="1"/>
  <c r="X19" i="2"/>
  <c r="Z19" i="2" s="1"/>
  <c r="W40" i="1"/>
  <c r="X39" i="1"/>
  <c r="Y39" i="1" s="1"/>
  <c r="W21" i="3"/>
  <c r="X21" i="3" s="1"/>
  <c r="W20" i="2"/>
  <c r="W41" i="1" l="1"/>
  <c r="X40" i="1"/>
  <c r="Y40" i="1" s="1"/>
  <c r="Y20" i="2"/>
  <c r="X20" i="2"/>
  <c r="Z20" i="2" s="1"/>
  <c r="W22" i="3"/>
  <c r="X22" i="3" s="1"/>
  <c r="W21" i="2"/>
  <c r="Y21" i="2" l="1"/>
  <c r="X21" i="2"/>
  <c r="Z21" i="2" s="1"/>
  <c r="W42" i="1"/>
  <c r="X41" i="1"/>
  <c r="Y41" i="1" s="1"/>
  <c r="W23" i="3"/>
  <c r="X23" i="3" s="1"/>
  <c r="W22" i="2"/>
  <c r="W43" i="1" l="1"/>
  <c r="X42" i="1"/>
  <c r="Y42" i="1" s="1"/>
  <c r="Y22" i="2"/>
  <c r="X22" i="2"/>
  <c r="Z22" i="2" s="1"/>
  <c r="W24" i="3"/>
  <c r="X24" i="3" s="1"/>
  <c r="W23" i="2"/>
  <c r="Y23" i="2" l="1"/>
  <c r="X23" i="2"/>
  <c r="Z23" i="2" s="1"/>
  <c r="W44" i="1"/>
  <c r="X43" i="1"/>
  <c r="Y43" i="1" s="1"/>
  <c r="W25" i="3"/>
  <c r="X25" i="3" s="1"/>
  <c r="W24" i="2"/>
  <c r="W45" i="1" l="1"/>
  <c r="X44" i="1"/>
  <c r="Y44" i="1" s="1"/>
  <c r="X24" i="2"/>
  <c r="Z24" i="2" s="1"/>
  <c r="Y24" i="2"/>
  <c r="W26" i="3"/>
  <c r="X26" i="3" s="1"/>
  <c r="W25" i="2"/>
  <c r="Y25" i="2" l="1"/>
  <c r="X25" i="2"/>
  <c r="Z25" i="2" s="1"/>
  <c r="W46" i="1"/>
  <c r="X45" i="1"/>
  <c r="Y45" i="1" s="1"/>
  <c r="W27" i="3"/>
  <c r="X27" i="3" s="1"/>
  <c r="W26" i="2"/>
  <c r="Y26" i="2" l="1"/>
  <c r="X26" i="2"/>
  <c r="Z26" i="2" s="1"/>
  <c r="W47" i="1"/>
  <c r="X46" i="1"/>
  <c r="Y46" i="1" s="1"/>
  <c r="W28" i="3"/>
  <c r="X28" i="3" s="1"/>
  <c r="W27" i="2"/>
  <c r="Y27" i="2" l="1"/>
  <c r="X27" i="2"/>
  <c r="Z27" i="2" s="1"/>
  <c r="W48" i="1"/>
  <c r="X47" i="1"/>
  <c r="Y47" i="1" s="1"/>
  <c r="W29" i="3"/>
  <c r="X29" i="3" s="1"/>
  <c r="W28" i="2"/>
  <c r="X28" i="2" l="1"/>
  <c r="Z28" i="2" s="1"/>
  <c r="Y28" i="2"/>
  <c r="W49" i="1"/>
  <c r="X48" i="1"/>
  <c r="Y48" i="1" s="1"/>
  <c r="W30" i="3"/>
  <c r="X30" i="3" s="1"/>
  <c r="W29" i="2"/>
  <c r="X29" i="2" l="1"/>
  <c r="Z29" i="2" s="1"/>
  <c r="Y29" i="2"/>
  <c r="W50" i="1"/>
  <c r="X49" i="1"/>
  <c r="Y49" i="1" s="1"/>
  <c r="W31" i="3"/>
  <c r="X31" i="3" s="1"/>
  <c r="W30" i="2"/>
  <c r="Y30" i="2" l="1"/>
  <c r="X30" i="2"/>
  <c r="Z30" i="2" s="1"/>
  <c r="W51" i="1"/>
  <c r="X50" i="1"/>
  <c r="Y50" i="1" s="1"/>
  <c r="W32" i="3"/>
  <c r="X32" i="3" s="1"/>
  <c r="W31" i="2"/>
  <c r="X31" i="2" l="1"/>
  <c r="Z31" i="2" s="1"/>
  <c r="Y31" i="2"/>
  <c r="W52" i="1"/>
  <c r="X51" i="1"/>
  <c r="Y51" i="1" s="1"/>
  <c r="W33" i="3"/>
  <c r="X33" i="3" s="1"/>
  <c r="W32" i="2"/>
  <c r="X32" i="2" l="1"/>
  <c r="Z32" i="2" s="1"/>
  <c r="Y32" i="2"/>
  <c r="W53" i="1"/>
  <c r="X52" i="1"/>
  <c r="Y52" i="1" s="1"/>
  <c r="W34" i="3"/>
  <c r="X34" i="3" s="1"/>
  <c r="W33" i="2"/>
  <c r="X33" i="2" l="1"/>
  <c r="Z33" i="2" s="1"/>
  <c r="Y33" i="2"/>
  <c r="W54" i="1"/>
  <c r="X53" i="1"/>
  <c r="Y53" i="1" s="1"/>
  <c r="W35" i="3"/>
  <c r="X35" i="3" s="1"/>
  <c r="W34" i="2"/>
  <c r="W55" i="1" l="1"/>
  <c r="X54" i="1"/>
  <c r="Y54" i="1" s="1"/>
  <c r="Y34" i="2"/>
  <c r="X34" i="2"/>
  <c r="Z34" i="2" s="1"/>
  <c r="W36" i="3"/>
  <c r="X36" i="3" s="1"/>
  <c r="W35" i="2"/>
  <c r="Y35" i="2" l="1"/>
  <c r="X35" i="2"/>
  <c r="Z35" i="2" s="1"/>
  <c r="W56" i="1"/>
  <c r="X55" i="1"/>
  <c r="Y55" i="1" s="1"/>
  <c r="W37" i="3"/>
  <c r="X37" i="3" s="1"/>
  <c r="W36" i="2"/>
  <c r="W57" i="1" l="1"/>
  <c r="X56" i="1"/>
  <c r="Y56" i="1" s="1"/>
  <c r="X36" i="2"/>
  <c r="Z36" i="2" s="1"/>
  <c r="Y36" i="2"/>
  <c r="W38" i="3"/>
  <c r="X38" i="3" s="1"/>
  <c r="W37" i="2"/>
  <c r="X37" i="2" l="1"/>
  <c r="Z37" i="2" s="1"/>
  <c r="Y37" i="2"/>
  <c r="X57" i="1"/>
  <c r="Y57" i="1" s="1"/>
  <c r="W58" i="1"/>
  <c r="W39" i="3"/>
  <c r="X39" i="3" s="1"/>
  <c r="W38" i="2"/>
  <c r="W59" i="1" l="1"/>
  <c r="X58" i="1"/>
  <c r="Y58" i="1" s="1"/>
  <c r="Y38" i="2"/>
  <c r="X38" i="2"/>
  <c r="Z38" i="2" s="1"/>
  <c r="W40" i="3"/>
  <c r="X40" i="3" s="1"/>
  <c r="W39" i="2"/>
  <c r="Y39" i="2" l="1"/>
  <c r="X39" i="2"/>
  <c r="Z39" i="2" s="1"/>
  <c r="W60" i="1"/>
  <c r="X59" i="1"/>
  <c r="Y59" i="1" s="1"/>
  <c r="W41" i="3"/>
  <c r="X41" i="3" s="1"/>
  <c r="W40" i="2"/>
  <c r="W61" i="1" l="1"/>
  <c r="X60" i="1"/>
  <c r="Y60" i="1" s="1"/>
  <c r="X40" i="2"/>
  <c r="Z40" i="2" s="1"/>
  <c r="Y40" i="2"/>
  <c r="W42" i="3"/>
  <c r="X42" i="3" s="1"/>
  <c r="W41" i="2"/>
  <c r="X41" i="2" l="1"/>
  <c r="Z41" i="2" s="1"/>
  <c r="Y41" i="2"/>
  <c r="W62" i="1"/>
  <c r="X61" i="1"/>
  <c r="Y61" i="1" s="1"/>
  <c r="W43" i="3"/>
  <c r="W42" i="2"/>
  <c r="W63" i="1" l="1"/>
  <c r="X62" i="1"/>
  <c r="Y62" i="1" s="1"/>
  <c r="Y42" i="2"/>
  <c r="X42" i="2"/>
  <c r="Z42" i="2" s="1"/>
  <c r="W44" i="3"/>
  <c r="X44" i="3" s="1"/>
  <c r="W43" i="2"/>
  <c r="Y43" i="2" l="1"/>
  <c r="X43" i="2"/>
  <c r="Z43" i="2" s="1"/>
  <c r="W64" i="1"/>
  <c r="X63" i="1"/>
  <c r="Y63" i="1" s="1"/>
  <c r="W45" i="3"/>
  <c r="X45" i="3" s="1"/>
  <c r="W44" i="2"/>
  <c r="X44" i="2" l="1"/>
  <c r="Y44" i="2"/>
  <c r="Z44" i="2" s="1"/>
  <c r="W65" i="1"/>
  <c r="X64" i="1"/>
  <c r="Y64" i="1" s="1"/>
  <c r="W46" i="3"/>
  <c r="X46" i="3" s="1"/>
  <c r="W45" i="2"/>
  <c r="W66" i="1" l="1"/>
  <c r="X65" i="1"/>
  <c r="Y65" i="1" s="1"/>
  <c r="X45" i="2"/>
  <c r="Y45" i="2"/>
  <c r="Z45" i="2" s="1"/>
  <c r="W47" i="3"/>
  <c r="X47" i="3" s="1"/>
  <c r="W46" i="2"/>
  <c r="Y46" i="2" l="1"/>
  <c r="Z46" i="2" s="1"/>
  <c r="X46" i="2"/>
  <c r="W67" i="1"/>
  <c r="X66" i="1"/>
  <c r="Y66" i="1" s="1"/>
  <c r="W48" i="3"/>
  <c r="X48" i="3" s="1"/>
  <c r="W47" i="2"/>
  <c r="Y47" i="2" l="1"/>
  <c r="Z47" i="2" s="1"/>
  <c r="X47" i="2"/>
  <c r="W68" i="1"/>
  <c r="X67" i="1"/>
  <c r="Y67" i="1" s="1"/>
  <c r="W49" i="3"/>
  <c r="X49" i="3" s="1"/>
  <c r="W48" i="2"/>
  <c r="W69" i="1" l="1"/>
  <c r="X68" i="1"/>
  <c r="Y68" i="1" s="1"/>
  <c r="X48" i="2"/>
  <c r="Y48" i="2"/>
  <c r="Z48" i="2" s="1"/>
  <c r="W50" i="3"/>
  <c r="X50" i="3" s="1"/>
  <c r="W49" i="2"/>
  <c r="Y49" i="2" l="1"/>
  <c r="Z49" i="2" s="1"/>
  <c r="X49" i="2"/>
  <c r="W70" i="1"/>
  <c r="X69" i="1"/>
  <c r="Y69" i="1" s="1"/>
  <c r="W51" i="3"/>
  <c r="X51" i="3" s="1"/>
  <c r="W50" i="2"/>
  <c r="W71" i="1" l="1"/>
  <c r="X70" i="1"/>
  <c r="Y70" i="1" s="1"/>
  <c r="X50" i="2"/>
  <c r="Y50" i="2"/>
  <c r="Z50" i="2" s="1"/>
  <c r="W52" i="3"/>
  <c r="X52" i="3" s="1"/>
  <c r="W51" i="2"/>
  <c r="Y51" i="2" l="1"/>
  <c r="Z51" i="2" s="1"/>
  <c r="X51" i="2"/>
  <c r="W72" i="1"/>
  <c r="X71" i="1"/>
  <c r="Y71" i="1" s="1"/>
  <c r="W53" i="3"/>
  <c r="X53" i="3" s="1"/>
  <c r="W52" i="2"/>
  <c r="W73" i="1" l="1"/>
  <c r="X72" i="1"/>
  <c r="Y72" i="1" s="1"/>
  <c r="Y52" i="2"/>
  <c r="Z52" i="2" s="1"/>
  <c r="X52" i="2"/>
  <c r="W54" i="3"/>
  <c r="X54" i="3" s="1"/>
  <c r="W53" i="2"/>
  <c r="X53" i="2" l="1"/>
  <c r="Y53" i="2"/>
  <c r="Z53" i="2" s="1"/>
  <c r="W74" i="1"/>
  <c r="X73" i="1"/>
  <c r="Y73" i="1" s="1"/>
  <c r="W55" i="3"/>
  <c r="X55" i="3" s="1"/>
  <c r="W54" i="2"/>
  <c r="Y54" i="2" l="1"/>
  <c r="Z54" i="2" s="1"/>
  <c r="X54" i="2"/>
  <c r="W75" i="1"/>
  <c r="X74" i="1"/>
  <c r="Y74" i="1" s="1"/>
  <c r="W56" i="3"/>
  <c r="X56" i="3" s="1"/>
  <c r="W55" i="2"/>
  <c r="W76" i="1" l="1"/>
  <c r="X75" i="1"/>
  <c r="Y75" i="1" s="1"/>
  <c r="Y55" i="2"/>
  <c r="Z55" i="2" s="1"/>
  <c r="X55" i="2"/>
  <c r="W57" i="3"/>
  <c r="X57" i="3" s="1"/>
  <c r="W56" i="2"/>
  <c r="X56" i="2" l="1"/>
  <c r="Y56" i="2"/>
  <c r="Z56" i="2" s="1"/>
  <c r="X76" i="1"/>
  <c r="Y76" i="1" s="1"/>
  <c r="W77" i="1"/>
  <c r="W58" i="3"/>
  <c r="X58" i="3" s="1"/>
  <c r="W57" i="2"/>
  <c r="Y57" i="2" l="1"/>
  <c r="Z57" i="2" s="1"/>
  <c r="X57" i="2"/>
  <c r="W78" i="1"/>
  <c r="X77" i="1"/>
  <c r="Y77" i="1" s="1"/>
  <c r="W59" i="3"/>
  <c r="X59" i="3" s="1"/>
  <c r="W58" i="2"/>
  <c r="W79" i="1" l="1"/>
  <c r="X78" i="1"/>
  <c r="Y78" i="1" s="1"/>
  <c r="Y58" i="2"/>
  <c r="Z58" i="2" s="1"/>
  <c r="X58" i="2"/>
  <c r="W60" i="3"/>
  <c r="X60" i="3" s="1"/>
  <c r="W59" i="2"/>
  <c r="Y59" i="2" l="1"/>
  <c r="Z59" i="2" s="1"/>
  <c r="X59" i="2"/>
  <c r="W80" i="1"/>
  <c r="X79" i="1"/>
  <c r="Y79" i="1" s="1"/>
  <c r="W61" i="3"/>
  <c r="X61" i="3" s="1"/>
  <c r="W60" i="2"/>
  <c r="W81" i="1" l="1"/>
  <c r="X80" i="1"/>
  <c r="Y80" i="1" s="1"/>
  <c r="Y60" i="2"/>
  <c r="Z60" i="2" s="1"/>
  <c r="X60" i="2"/>
  <c r="W62" i="3"/>
  <c r="X62" i="3" s="1"/>
  <c r="W61" i="2"/>
  <c r="Y61" i="2" l="1"/>
  <c r="Z61" i="2" s="1"/>
  <c r="X61" i="2"/>
  <c r="W82" i="1"/>
  <c r="X81" i="1"/>
  <c r="Y81" i="1" s="1"/>
  <c r="W63" i="3"/>
  <c r="X63" i="3" s="1"/>
  <c r="W62" i="2"/>
  <c r="W83" i="1" l="1"/>
  <c r="X82" i="1"/>
  <c r="Y82" i="1" s="1"/>
  <c r="Y62" i="2"/>
  <c r="Z62" i="2" s="1"/>
  <c r="X62" i="2"/>
  <c r="W64" i="3"/>
  <c r="X64" i="3" s="1"/>
  <c r="W63" i="2"/>
  <c r="X63" i="2" l="1"/>
  <c r="Y63" i="2"/>
  <c r="Z63" i="2" s="1"/>
  <c r="W84" i="1"/>
  <c r="X83" i="1"/>
  <c r="Y83" i="1" s="1"/>
  <c r="W65" i="3"/>
  <c r="X65" i="3" s="1"/>
  <c r="W64" i="2"/>
  <c r="W85" i="1" l="1"/>
  <c r="X84" i="1"/>
  <c r="Y84" i="1" s="1"/>
  <c r="X64" i="2"/>
  <c r="Y64" i="2"/>
  <c r="Z64" i="2" s="1"/>
  <c r="W66" i="3"/>
  <c r="X66" i="3" s="1"/>
  <c r="W65" i="2"/>
  <c r="X65" i="2" l="1"/>
  <c r="Y65" i="2"/>
  <c r="Z65" i="2" s="1"/>
  <c r="W86" i="1"/>
  <c r="X85" i="1"/>
  <c r="Y85" i="1" s="1"/>
  <c r="W67" i="3"/>
  <c r="X67" i="3" s="1"/>
  <c r="W66" i="2"/>
  <c r="X66" i="2" l="1"/>
  <c r="Y66" i="2"/>
  <c r="Z66" i="2" s="1"/>
  <c r="W87" i="1"/>
  <c r="X86" i="1"/>
  <c r="Y86" i="1" s="1"/>
  <c r="W68" i="3"/>
  <c r="X68" i="3" s="1"/>
  <c r="W67" i="2"/>
  <c r="Y67" i="2" l="1"/>
  <c r="Z67" i="2" s="1"/>
  <c r="X67" i="2"/>
  <c r="W88" i="1"/>
  <c r="X87" i="1"/>
  <c r="Y87" i="1" s="1"/>
  <c r="W69" i="3"/>
  <c r="X69" i="3" s="1"/>
  <c r="W68" i="2"/>
  <c r="X88" i="1" l="1"/>
  <c r="Y88" i="1" s="1"/>
  <c r="W89" i="1"/>
  <c r="X68" i="2"/>
  <c r="Y68" i="2"/>
  <c r="Z68" i="2" s="1"/>
  <c r="W70" i="3"/>
  <c r="X70" i="3" s="1"/>
  <c r="W69" i="2"/>
  <c r="W90" i="1" l="1"/>
  <c r="X89" i="1"/>
  <c r="Y89" i="1" s="1"/>
  <c r="X69" i="2"/>
  <c r="Y69" i="2"/>
  <c r="Z69" i="2" s="1"/>
  <c r="W71" i="3"/>
  <c r="X71" i="3" s="1"/>
  <c r="W70" i="2"/>
  <c r="Y70" i="2" l="1"/>
  <c r="Z70" i="2" s="1"/>
  <c r="X70" i="2"/>
  <c r="W91" i="1"/>
  <c r="X90" i="1"/>
  <c r="Y90" i="1" s="1"/>
  <c r="W72" i="3"/>
  <c r="X72" i="3" s="1"/>
  <c r="W71" i="2"/>
  <c r="X71" i="2" l="1"/>
  <c r="Y71" i="2"/>
  <c r="Z71" i="2" s="1"/>
  <c r="W92" i="1"/>
  <c r="X91" i="1"/>
  <c r="Y91" i="1" s="1"/>
  <c r="W73" i="3"/>
  <c r="X73" i="3" s="1"/>
  <c r="W72" i="2"/>
  <c r="W93" i="1" l="1"/>
  <c r="X92" i="1"/>
  <c r="Y92" i="1" s="1"/>
  <c r="X72" i="2"/>
  <c r="Y72" i="2"/>
  <c r="Z72" i="2" s="1"/>
  <c r="W74" i="3"/>
  <c r="X74" i="3" s="1"/>
  <c r="W73" i="2"/>
  <c r="X73" i="2" l="1"/>
  <c r="Y73" i="2"/>
  <c r="Z73" i="2" s="1"/>
  <c r="W94" i="1"/>
  <c r="X93" i="1"/>
  <c r="Y93" i="1" s="1"/>
  <c r="W75" i="3"/>
  <c r="X75" i="3" s="1"/>
  <c r="W74" i="2"/>
  <c r="W95" i="1" l="1"/>
  <c r="X94" i="1"/>
  <c r="Y94" i="1" s="1"/>
  <c r="Y74" i="2"/>
  <c r="Z74" i="2" s="1"/>
  <c r="X74" i="2"/>
  <c r="W76" i="3"/>
  <c r="X76" i="3" s="1"/>
  <c r="W75" i="2"/>
  <c r="Y75" i="2" l="1"/>
  <c r="Z75" i="2" s="1"/>
  <c r="X75" i="2"/>
  <c r="W96" i="1"/>
  <c r="X95" i="1"/>
  <c r="Y95" i="1" s="1"/>
  <c r="W77" i="3"/>
  <c r="X77" i="3" s="1"/>
  <c r="W76" i="2"/>
  <c r="X76" i="2" l="1"/>
  <c r="Y76" i="2"/>
  <c r="Z76" i="2" s="1"/>
  <c r="W97" i="1"/>
  <c r="X96" i="1"/>
  <c r="Y96" i="1" s="1"/>
  <c r="W78" i="3"/>
  <c r="X78" i="3" s="1"/>
  <c r="W77" i="2"/>
  <c r="Y77" i="2" l="1"/>
  <c r="Z77" i="2" s="1"/>
  <c r="X77" i="2"/>
  <c r="X97" i="1"/>
  <c r="Y97" i="1" s="1"/>
  <c r="W98" i="1"/>
  <c r="W79" i="3"/>
  <c r="X79" i="3" s="1"/>
  <c r="W78" i="2"/>
  <c r="Y78" i="2" l="1"/>
  <c r="Z78" i="2" s="1"/>
  <c r="X78" i="2"/>
  <c r="W99" i="1"/>
  <c r="X98" i="1"/>
  <c r="Y98" i="1" s="1"/>
  <c r="W80" i="3"/>
  <c r="X80" i="3" s="1"/>
  <c r="W79" i="2"/>
  <c r="W100" i="1" l="1"/>
  <c r="X99" i="1"/>
  <c r="Y99" i="1" s="1"/>
  <c r="Y79" i="2"/>
  <c r="Z79" i="2" s="1"/>
  <c r="X79" i="2"/>
  <c r="W81" i="3"/>
  <c r="X81" i="3" s="1"/>
  <c r="W80" i="2"/>
  <c r="X80" i="2" l="1"/>
  <c r="Y80" i="2"/>
  <c r="Z80" i="2" s="1"/>
  <c r="W101" i="1"/>
  <c r="X100" i="1"/>
  <c r="Y100" i="1" s="1"/>
  <c r="W82" i="3"/>
  <c r="X82" i="3" s="1"/>
  <c r="W81" i="2"/>
  <c r="X81" i="2" l="1"/>
  <c r="Y81" i="2"/>
  <c r="Z81" i="2" s="1"/>
  <c r="W102" i="1"/>
  <c r="X101" i="1"/>
  <c r="Y101" i="1" s="1"/>
  <c r="W83" i="3"/>
  <c r="X83" i="3" s="1"/>
  <c r="W82" i="2"/>
  <c r="Y82" i="2" l="1"/>
  <c r="Z82" i="2" s="1"/>
  <c r="X82" i="2"/>
  <c r="W103" i="1"/>
  <c r="X103" i="1" s="1"/>
  <c r="Y103" i="1" s="1"/>
  <c r="X102" i="1"/>
  <c r="Y102" i="1" s="1"/>
  <c r="W84" i="3"/>
  <c r="X84" i="3" s="1"/>
  <c r="W83" i="2"/>
  <c r="Y83" i="2" l="1"/>
  <c r="Z83" i="2" s="1"/>
  <c r="X83" i="2"/>
  <c r="W85" i="3"/>
  <c r="X85" i="3" s="1"/>
  <c r="W84" i="2"/>
  <c r="Y84" i="2" l="1"/>
  <c r="Z84" i="2" s="1"/>
  <c r="X84" i="2"/>
  <c r="W86" i="3"/>
  <c r="X86" i="3" s="1"/>
  <c r="W85" i="2"/>
  <c r="X85" i="2" l="1"/>
  <c r="Y85" i="2"/>
  <c r="Z85" i="2" s="1"/>
  <c r="W87" i="3"/>
  <c r="X87" i="3" s="1"/>
  <c r="W86" i="2"/>
  <c r="Y86" i="2" l="1"/>
  <c r="Z86" i="2" s="1"/>
  <c r="X86" i="2"/>
  <c r="W88" i="3"/>
  <c r="X88" i="3" s="1"/>
  <c r="W87" i="2"/>
  <c r="Y87" i="2" l="1"/>
  <c r="Z87" i="2" s="1"/>
  <c r="X87" i="2"/>
  <c r="W89" i="3"/>
  <c r="X89" i="3" s="1"/>
  <c r="W88" i="2"/>
  <c r="X88" i="2" l="1"/>
  <c r="Y88" i="2"/>
  <c r="Z88" i="2" s="1"/>
  <c r="W90" i="3"/>
  <c r="X90" i="3" s="1"/>
  <c r="W89" i="2"/>
  <c r="X89" i="2" l="1"/>
  <c r="Y89" i="2"/>
  <c r="Z89" i="2" s="1"/>
  <c r="W91" i="3"/>
  <c r="X91" i="3" s="1"/>
  <c r="W90" i="2"/>
  <c r="Y90" i="2" l="1"/>
  <c r="Z90" i="2" s="1"/>
  <c r="X90" i="2"/>
  <c r="W92" i="3"/>
  <c r="X92" i="3" s="1"/>
  <c r="W91" i="2"/>
  <c r="Y91" i="2" l="1"/>
  <c r="Z91" i="2" s="1"/>
  <c r="X91" i="2"/>
  <c r="W93" i="3"/>
  <c r="X93" i="3" s="1"/>
  <c r="W92" i="2"/>
  <c r="Y92" i="2" l="1"/>
  <c r="Z92" i="2" s="1"/>
  <c r="X92" i="2"/>
  <c r="W94" i="3"/>
  <c r="X94" i="3" s="1"/>
  <c r="W93" i="2"/>
  <c r="X93" i="2" l="1"/>
  <c r="Y93" i="2"/>
  <c r="Z93" i="2" s="1"/>
  <c r="W95" i="3"/>
  <c r="X95" i="3" s="1"/>
  <c r="W94" i="2"/>
  <c r="Y94" i="2" l="1"/>
  <c r="Z94" i="2" s="1"/>
  <c r="X94" i="2"/>
  <c r="W96" i="3"/>
  <c r="X96" i="3" s="1"/>
  <c r="W95" i="2"/>
  <c r="X95" i="2" l="1"/>
  <c r="Y95" i="2"/>
  <c r="Z95" i="2" s="1"/>
  <c r="W97" i="3"/>
  <c r="X97" i="3" s="1"/>
  <c r="W96" i="2"/>
  <c r="X96" i="2" l="1"/>
  <c r="Y96" i="2"/>
  <c r="Z96" i="2" s="1"/>
  <c r="W98" i="3"/>
  <c r="X98" i="3" s="1"/>
  <c r="W97" i="2"/>
  <c r="Y97" i="2" l="1"/>
  <c r="Z97" i="2" s="1"/>
  <c r="X97" i="2"/>
  <c r="W99" i="3"/>
  <c r="X99" i="3" s="1"/>
  <c r="W98" i="2"/>
  <c r="X98" i="2" l="1"/>
  <c r="Y98" i="2"/>
  <c r="Z98" i="2" s="1"/>
  <c r="W100" i="3"/>
  <c r="X100" i="3" s="1"/>
  <c r="W99" i="2"/>
  <c r="Y99" i="2" l="1"/>
  <c r="Z99" i="2" s="1"/>
  <c r="X99" i="2"/>
  <c r="W101" i="3"/>
  <c r="X101" i="3" s="1"/>
  <c r="W100" i="2"/>
  <c r="X100" i="2" l="1"/>
  <c r="Y100" i="2"/>
  <c r="Z100" i="2" s="1"/>
  <c r="W102" i="3"/>
  <c r="X102" i="3" s="1"/>
  <c r="W101" i="2"/>
  <c r="X101" i="2" l="1"/>
  <c r="Y101" i="2"/>
  <c r="Z101" i="2" s="1"/>
  <c r="W103" i="3"/>
  <c r="X103" i="3" s="1"/>
  <c r="W102" i="2"/>
  <c r="Y102" i="2" l="1"/>
  <c r="Z102" i="2" s="1"/>
  <c r="X102" i="2"/>
  <c r="W103" i="2"/>
  <c r="X103" i="2" l="1"/>
  <c r="Y103" i="2"/>
  <c r="Z103" i="2" s="1"/>
</calcChain>
</file>

<file path=xl/sharedStrings.xml><?xml version="1.0" encoding="utf-8"?>
<sst xmlns="http://schemas.openxmlformats.org/spreadsheetml/2006/main" count="67" uniqueCount="29">
  <si>
    <t>Input data</t>
  </si>
  <si>
    <t>J</t>
  </si>
  <si>
    <t>Variables</t>
  </si>
  <si>
    <t>k =</t>
  </si>
  <si>
    <t>°C</t>
  </si>
  <si>
    <t>m =</t>
  </si>
  <si>
    <r>
      <t>T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=</t>
    </r>
  </si>
  <si>
    <t>T</t>
  </si>
  <si>
    <t>(°C)</t>
  </si>
  <si>
    <t>x</t>
  </si>
  <si>
    <t>LS =</t>
  </si>
  <si>
    <t>US =</t>
  </si>
  <si>
    <t>Burr distribution</t>
  </si>
  <si>
    <t>Experimental data</t>
  </si>
  <si>
    <r>
      <t>(</t>
    </r>
    <r>
      <rPr>
        <b/>
        <sz val="11"/>
        <color theme="1"/>
        <rFont val="Symbol"/>
        <family val="1"/>
        <charset val="2"/>
      </rPr>
      <t>³</t>
    </r>
    <r>
      <rPr>
        <b/>
        <sz val="11"/>
        <color theme="1"/>
        <rFont val="Calibri"/>
        <family val="2"/>
      </rPr>
      <t xml:space="preserve"> 0)</t>
    </r>
  </si>
  <si>
    <t>Y</t>
  </si>
  <si>
    <t>Y(T)</t>
  </si>
  <si>
    <t>T (°C)</t>
  </si>
  <si>
    <t>DBTT =</t>
  </si>
  <si>
    <t>Kohout model (asymmetric)</t>
  </si>
  <si>
    <t>C =</t>
  </si>
  <si>
    <t>p =</t>
  </si>
  <si>
    <r>
      <t>Y (T</t>
    </r>
    <r>
      <rPr>
        <sz val="11"/>
        <color theme="1"/>
        <rFont val="Calibri"/>
        <family val="2"/>
      </rPr>
      <t>≤T</t>
    </r>
    <r>
      <rPr>
        <vertAlign val="subscript"/>
        <sz val="11"/>
        <color theme="1"/>
        <rFont val="Calibri"/>
        <family val="2"/>
      </rPr>
      <t>0</t>
    </r>
    <r>
      <rPr>
        <sz val="11"/>
        <color theme="1"/>
        <rFont val="Calibri"/>
        <family val="2"/>
      </rPr>
      <t>)</t>
    </r>
  </si>
  <si>
    <r>
      <t>Y (T</t>
    </r>
    <r>
      <rPr>
        <sz val="11"/>
        <color theme="1"/>
        <rFont val="Calibri"/>
        <family val="2"/>
      </rPr>
      <t>&gt;T</t>
    </r>
    <r>
      <rPr>
        <vertAlign val="subscript"/>
        <sz val="11"/>
        <color theme="1"/>
        <rFont val="Calibri"/>
        <family val="2"/>
      </rPr>
      <t>0</t>
    </r>
    <r>
      <rPr>
        <sz val="11"/>
        <color theme="1"/>
        <rFont val="Calibri"/>
        <family val="2"/>
      </rPr>
      <t>)</t>
    </r>
  </si>
  <si>
    <t>Asymmetric Hyperbolic Tangent</t>
  </si>
  <si>
    <t>D =</t>
  </si>
  <si>
    <r>
      <t>°C (</t>
    </r>
    <r>
      <rPr>
        <b/>
        <sz val="11"/>
        <color theme="1"/>
        <rFont val="Symbol"/>
        <family val="1"/>
        <charset val="2"/>
      </rPr>
      <t>³</t>
    </r>
    <r>
      <rPr>
        <b/>
        <sz val="11"/>
        <color theme="1"/>
        <rFont val="Calibri"/>
        <family val="2"/>
      </rPr>
      <t xml:space="preserve"> 0)</t>
    </r>
  </si>
  <si>
    <t>1/°C</t>
  </si>
  <si>
    <t>RMSE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</si>
</sst>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6"/>
      <color theme="1"/>
      <name val="Symbol"/>
      <family val="1"/>
      <charset val="2"/>
    </font>
    <font>
      <sz val="16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7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/>
    <xf numFmtId="0" fontId="10" fillId="0" borderId="0" xfId="0" applyFont="1"/>
    <xf numFmtId="0" fontId="10" fillId="0" borderId="0" xfId="0" applyFont="1" applyAlignment="1">
      <alignment horizontal="right"/>
    </xf>
    <xf numFmtId="164" fontId="1" fillId="0" borderId="0" xfId="0" applyNumberFormat="1" applyFont="1" applyAlignment="1">
      <alignment horizontal="center"/>
    </xf>
    <xf numFmtId="0" fontId="0" fillId="0" borderId="2" xfId="0" applyBorder="1" applyAlignment="1">
      <alignment horizontal="center"/>
    </xf>
    <xf numFmtId="0" fontId="1" fillId="0" borderId="1" xfId="0" applyFont="1" applyBorder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" fillId="0" borderId="4" xfId="0" applyFont="1" applyBorder="1" applyAlignment="1">
      <alignment horizontal="right"/>
    </xf>
    <xf numFmtId="164" fontId="1" fillId="0" borderId="5" xfId="0" applyNumberFormat="1" applyFont="1" applyBorder="1" applyAlignment="1">
      <alignment horizontal="center"/>
    </xf>
    <xf numFmtId="0" fontId="1" fillId="0" borderId="6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horizontal="right" vertical="center"/>
    </xf>
    <xf numFmtId="0" fontId="18" fillId="0" borderId="0" xfId="0" applyFont="1" applyAlignment="1">
      <alignment horizontal="left" vertical="center"/>
    </xf>
    <xf numFmtId="0" fontId="0" fillId="0" borderId="3" xfId="0" applyBorder="1" applyAlignment="1">
      <alignment horizontal="center"/>
    </xf>
    <xf numFmtId="164" fontId="1" fillId="0" borderId="5" xfId="0" applyNumberFormat="1" applyFont="1" applyBorder="1" applyAlignment="1">
      <alignment horizontal="center" vertical="center"/>
    </xf>
    <xf numFmtId="2" fontId="2" fillId="0" borderId="0" xfId="0" applyNumberFormat="1" applyFont="1"/>
    <xf numFmtId="164" fontId="2" fillId="0" borderId="0" xfId="0" applyNumberFormat="1" applyFont="1" applyAlignment="1">
      <alignment horizontal="center"/>
    </xf>
    <xf numFmtId="0" fontId="0" fillId="2" borderId="2" xfId="0" applyFill="1" applyBorder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vertical="center"/>
    </xf>
    <xf numFmtId="0" fontId="0" fillId="2" borderId="3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</cellXfs>
  <cellStyles count="1"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510638297872333E-2"/>
          <c:y val="4.2907024364089108E-2"/>
          <c:w val="0.91343735224586298"/>
          <c:h val="0.79592053231376325"/>
        </c:manualLayout>
      </c:layout>
      <c:scatterChart>
        <c:scatterStyle val="line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AHT!$W$3:$W$103</c:f>
              <c:numCache>
                <c:formatCode>General</c:formatCode>
                <c:ptCount val="101"/>
                <c:pt idx="0">
                  <c:v>-200</c:v>
                </c:pt>
                <c:pt idx="1">
                  <c:v>-195</c:v>
                </c:pt>
                <c:pt idx="2">
                  <c:v>-190</c:v>
                </c:pt>
                <c:pt idx="3">
                  <c:v>-185</c:v>
                </c:pt>
                <c:pt idx="4">
                  <c:v>-180</c:v>
                </c:pt>
                <c:pt idx="5">
                  <c:v>-175</c:v>
                </c:pt>
                <c:pt idx="6">
                  <c:v>-170</c:v>
                </c:pt>
                <c:pt idx="7">
                  <c:v>-165</c:v>
                </c:pt>
                <c:pt idx="8">
                  <c:v>-160</c:v>
                </c:pt>
                <c:pt idx="9">
                  <c:v>-155</c:v>
                </c:pt>
                <c:pt idx="10">
                  <c:v>-150</c:v>
                </c:pt>
                <c:pt idx="11">
                  <c:v>-145</c:v>
                </c:pt>
                <c:pt idx="12">
                  <c:v>-140</c:v>
                </c:pt>
                <c:pt idx="13">
                  <c:v>-135</c:v>
                </c:pt>
                <c:pt idx="14">
                  <c:v>-130</c:v>
                </c:pt>
                <c:pt idx="15">
                  <c:v>-125</c:v>
                </c:pt>
                <c:pt idx="16">
                  <c:v>-120</c:v>
                </c:pt>
                <c:pt idx="17">
                  <c:v>-115</c:v>
                </c:pt>
                <c:pt idx="18">
                  <c:v>-110</c:v>
                </c:pt>
                <c:pt idx="19">
                  <c:v>-105</c:v>
                </c:pt>
                <c:pt idx="20">
                  <c:v>-100</c:v>
                </c:pt>
                <c:pt idx="21">
                  <c:v>-95</c:v>
                </c:pt>
                <c:pt idx="22">
                  <c:v>-90</c:v>
                </c:pt>
                <c:pt idx="23">
                  <c:v>-85</c:v>
                </c:pt>
                <c:pt idx="24">
                  <c:v>-80</c:v>
                </c:pt>
                <c:pt idx="25">
                  <c:v>-75</c:v>
                </c:pt>
                <c:pt idx="26">
                  <c:v>-70</c:v>
                </c:pt>
                <c:pt idx="27">
                  <c:v>-65</c:v>
                </c:pt>
                <c:pt idx="28">
                  <c:v>-60</c:v>
                </c:pt>
                <c:pt idx="29">
                  <c:v>-55</c:v>
                </c:pt>
                <c:pt idx="30">
                  <c:v>-50</c:v>
                </c:pt>
                <c:pt idx="31">
                  <c:v>-45</c:v>
                </c:pt>
                <c:pt idx="32">
                  <c:v>-40</c:v>
                </c:pt>
                <c:pt idx="33">
                  <c:v>-35</c:v>
                </c:pt>
                <c:pt idx="34">
                  <c:v>-30</c:v>
                </c:pt>
                <c:pt idx="35">
                  <c:v>-25</c:v>
                </c:pt>
                <c:pt idx="36">
                  <c:v>-20</c:v>
                </c:pt>
                <c:pt idx="37">
                  <c:v>-15</c:v>
                </c:pt>
                <c:pt idx="38">
                  <c:v>-10</c:v>
                </c:pt>
                <c:pt idx="39">
                  <c:v>-5</c:v>
                </c:pt>
                <c:pt idx="40">
                  <c:v>0</c:v>
                </c:pt>
                <c:pt idx="41">
                  <c:v>5</c:v>
                </c:pt>
                <c:pt idx="42">
                  <c:v>10</c:v>
                </c:pt>
                <c:pt idx="43">
                  <c:v>15</c:v>
                </c:pt>
                <c:pt idx="44">
                  <c:v>20</c:v>
                </c:pt>
                <c:pt idx="45">
                  <c:v>25</c:v>
                </c:pt>
                <c:pt idx="46">
                  <c:v>30</c:v>
                </c:pt>
                <c:pt idx="47">
                  <c:v>35</c:v>
                </c:pt>
                <c:pt idx="48">
                  <c:v>40</c:v>
                </c:pt>
                <c:pt idx="49">
                  <c:v>45</c:v>
                </c:pt>
                <c:pt idx="50">
                  <c:v>50</c:v>
                </c:pt>
                <c:pt idx="51">
                  <c:v>55</c:v>
                </c:pt>
                <c:pt idx="52">
                  <c:v>60</c:v>
                </c:pt>
                <c:pt idx="53">
                  <c:v>65</c:v>
                </c:pt>
                <c:pt idx="54">
                  <c:v>70</c:v>
                </c:pt>
                <c:pt idx="55">
                  <c:v>75</c:v>
                </c:pt>
                <c:pt idx="56">
                  <c:v>80</c:v>
                </c:pt>
                <c:pt idx="57">
                  <c:v>85</c:v>
                </c:pt>
                <c:pt idx="58">
                  <c:v>90</c:v>
                </c:pt>
                <c:pt idx="59">
                  <c:v>95</c:v>
                </c:pt>
                <c:pt idx="60">
                  <c:v>100</c:v>
                </c:pt>
                <c:pt idx="61">
                  <c:v>105</c:v>
                </c:pt>
                <c:pt idx="62">
                  <c:v>110</c:v>
                </c:pt>
                <c:pt idx="63">
                  <c:v>115</c:v>
                </c:pt>
                <c:pt idx="64">
                  <c:v>120</c:v>
                </c:pt>
                <c:pt idx="65">
                  <c:v>125</c:v>
                </c:pt>
                <c:pt idx="66">
                  <c:v>130</c:v>
                </c:pt>
                <c:pt idx="67">
                  <c:v>135</c:v>
                </c:pt>
                <c:pt idx="68">
                  <c:v>140</c:v>
                </c:pt>
                <c:pt idx="69">
                  <c:v>145</c:v>
                </c:pt>
                <c:pt idx="70">
                  <c:v>150</c:v>
                </c:pt>
                <c:pt idx="71">
                  <c:v>155</c:v>
                </c:pt>
                <c:pt idx="72">
                  <c:v>160</c:v>
                </c:pt>
                <c:pt idx="73">
                  <c:v>165</c:v>
                </c:pt>
                <c:pt idx="74">
                  <c:v>170</c:v>
                </c:pt>
                <c:pt idx="75">
                  <c:v>175</c:v>
                </c:pt>
                <c:pt idx="76">
                  <c:v>180</c:v>
                </c:pt>
                <c:pt idx="77">
                  <c:v>185</c:v>
                </c:pt>
                <c:pt idx="78">
                  <c:v>190</c:v>
                </c:pt>
                <c:pt idx="79">
                  <c:v>195</c:v>
                </c:pt>
                <c:pt idx="80">
                  <c:v>200</c:v>
                </c:pt>
                <c:pt idx="81">
                  <c:v>205</c:v>
                </c:pt>
                <c:pt idx="82">
                  <c:v>210</c:v>
                </c:pt>
                <c:pt idx="83">
                  <c:v>215</c:v>
                </c:pt>
                <c:pt idx="84">
                  <c:v>220</c:v>
                </c:pt>
                <c:pt idx="85">
                  <c:v>225</c:v>
                </c:pt>
                <c:pt idx="86">
                  <c:v>230</c:v>
                </c:pt>
                <c:pt idx="87">
                  <c:v>235</c:v>
                </c:pt>
                <c:pt idx="88">
                  <c:v>240</c:v>
                </c:pt>
                <c:pt idx="89">
                  <c:v>245</c:v>
                </c:pt>
                <c:pt idx="90">
                  <c:v>250</c:v>
                </c:pt>
                <c:pt idx="91">
                  <c:v>255</c:v>
                </c:pt>
                <c:pt idx="92">
                  <c:v>260</c:v>
                </c:pt>
                <c:pt idx="93">
                  <c:v>265</c:v>
                </c:pt>
                <c:pt idx="94">
                  <c:v>270</c:v>
                </c:pt>
                <c:pt idx="95">
                  <c:v>275</c:v>
                </c:pt>
                <c:pt idx="96">
                  <c:v>280</c:v>
                </c:pt>
                <c:pt idx="97">
                  <c:v>285</c:v>
                </c:pt>
                <c:pt idx="98">
                  <c:v>290</c:v>
                </c:pt>
                <c:pt idx="99">
                  <c:v>295</c:v>
                </c:pt>
                <c:pt idx="100">
                  <c:v>300</c:v>
                </c:pt>
              </c:numCache>
            </c:numRef>
          </c:xVal>
          <c:yVal>
            <c:numRef>
              <c:f>AHT!$X$3:$X$103</c:f>
              <c:numCache>
                <c:formatCode>General</c:formatCode>
                <c:ptCount val="101"/>
                <c:pt idx="0">
                  <c:v>3.7250665893395762E-4</c:v>
                </c:pt>
                <c:pt idx="1">
                  <c:v>6.4335831481798778E-4</c:v>
                </c:pt>
                <c:pt idx="2">
                  <c:v>1.0917318899004158E-3</c:v>
                </c:pt>
                <c:pt idx="3">
                  <c:v>1.821745160796695E-3</c:v>
                </c:pt>
                <c:pt idx="4">
                  <c:v>2.9916395473037483E-3</c:v>
                </c:pt>
                <c:pt idx="5">
                  <c:v>4.838393682973674E-3</c:v>
                </c:pt>
                <c:pt idx="6">
                  <c:v>7.7119475339060273E-3</c:v>
                </c:pt>
                <c:pt idx="7">
                  <c:v>1.2122165215089353E-2</c:v>
                </c:pt>
                <c:pt idx="8">
                  <c:v>1.8802467830880687E-2</c:v>
                </c:pt>
                <c:pt idx="9">
                  <c:v>2.8795010856654812E-2</c:v>
                </c:pt>
                <c:pt idx="10">
                  <c:v>4.3563367079798354E-2</c:v>
                </c:pt>
                <c:pt idx="11">
                  <c:v>6.5139898804133622E-2</c:v>
                </c:pt>
                <c:pt idx="12">
                  <c:v>9.6316337422180709E-2</c:v>
                </c:pt>
                <c:pt idx="13">
                  <c:v>0.1408874820237429</c:v>
                </c:pt>
                <c:pt idx="14">
                  <c:v>0.20395928446311018</c:v>
                </c:pt>
                <c:pt idx="15">
                  <c:v>0.29233374050870964</c:v>
                </c:pt>
                <c:pt idx="16">
                  <c:v>0.41498368560345966</c:v>
                </c:pt>
                <c:pt idx="17">
                  <c:v>0.58363037652000571</c:v>
                </c:pt>
                <c:pt idx="18">
                  <c:v>0.81343498568823236</c:v>
                </c:pt>
                <c:pt idx="19">
                  <c:v>1.1238109036986543</c:v>
                </c:pt>
                <c:pt idx="20">
                  <c:v>1.539355712585504</c:v>
                </c:pt>
                <c:pt idx="21">
                  <c:v>2.0908880768378566</c:v>
                </c:pt>
                <c:pt idx="22">
                  <c:v>2.8165533571684307</c:v>
                </c:pt>
                <c:pt idx="23">
                  <c:v>3.7629299272601884</c:v>
                </c:pt>
                <c:pt idx="24">
                  <c:v>4.9860235499595689</c:v>
                </c:pt>
                <c:pt idx="25">
                  <c:v>6.5519784439847371</c:v>
                </c:pt>
                <c:pt idx="26">
                  <c:v>8.5372623996455985</c:v>
                </c:pt>
                <c:pt idx="27">
                  <c:v>11.028006587988529</c:v>
                </c:pt>
                <c:pt idx="28">
                  <c:v>14.118114702803197</c:v>
                </c:pt>
                <c:pt idx="29">
                  <c:v>17.905729338435862</c:v>
                </c:pt>
                <c:pt idx="30">
                  <c:v>22.48769796568385</c:v>
                </c:pt>
                <c:pt idx="31">
                  <c:v>27.951866458545609</c:v>
                </c:pt>
                <c:pt idx="32">
                  <c:v>34.367386406021211</c:v>
                </c:pt>
                <c:pt idx="33">
                  <c:v>41.773756864148169</c:v>
                </c:pt>
                <c:pt idx="34">
                  <c:v>50.169959871412019</c:v>
                </c:pt>
                <c:pt idx="35">
                  <c:v>59.505619712554939</c:v>
                </c:pt>
                <c:pt idx="36">
                  <c:v>69.676364687956323</c:v>
                </c:pt>
                <c:pt idx="37">
                  <c:v>80.525249025348629</c:v>
                </c:pt>
                <c:pt idx="38">
                  <c:v>91.851101988029086</c:v>
                </c:pt>
                <c:pt idx="39">
                  <c:v>103.42318453398954</c:v>
                </c:pt>
                <c:pt idx="40">
                  <c:v>115</c:v>
                </c:pt>
                <c:pt idx="41">
                  <c:v>126.34907797300933</c:v>
                </c:pt>
                <c:pt idx="42">
                  <c:v>137.26441678028763</c:v>
                </c:pt>
                <c:pt idx="43">
                  <c:v>147.57904786314927</c:v>
                </c:pt>
                <c:pt idx="44">
                  <c:v>157.1715281431901</c:v>
                </c:pt>
                <c:pt idx="45">
                  <c:v>165.96656355808193</c:v>
                </c:pt>
                <c:pt idx="46">
                  <c:v>173.93099482638047</c:v>
                </c:pt>
                <c:pt idx="47">
                  <c:v>181.06684983706063</c:v>
                </c:pt>
                <c:pt idx="48">
                  <c:v>187.40313645470769</c:v>
                </c:pt>
                <c:pt idx="49">
                  <c:v>192.98769938875782</c:v>
                </c:pt>
                <c:pt idx="50">
                  <c:v>197.87999781414516</c:v>
                </c:pt>
                <c:pt idx="51">
                  <c:v>202.1452253217675</c:v>
                </c:pt>
                <c:pt idx="52">
                  <c:v>205.84986544533908</c:v>
                </c:pt>
                <c:pt idx="53">
                  <c:v>209.05856994816338</c:v>
                </c:pt>
                <c:pt idx="54">
                  <c:v>211.83214470539332</c:v>
                </c:pt>
                <c:pt idx="55">
                  <c:v>214.2263986619418</c:v>
                </c:pt>
                <c:pt idx="56">
                  <c:v>216.29162547367272</c:v>
                </c:pt>
                <c:pt idx="57">
                  <c:v>218.07252248312591</c:v>
                </c:pt>
                <c:pt idx="58">
                  <c:v>219.6083929040864</c:v>
                </c:pt>
                <c:pt idx="59">
                  <c:v>220.93351621439217</c:v>
                </c:pt>
                <c:pt idx="60">
                  <c:v>222.07760499677144</c:v>
                </c:pt>
                <c:pt idx="61">
                  <c:v>223.06629276917073</c:v>
                </c:pt>
                <c:pt idx="62">
                  <c:v>223.92161710177157</c:v>
                </c:pt>
                <c:pt idx="63">
                  <c:v>224.66247654302592</c:v>
                </c:pt>
                <c:pt idx="64">
                  <c:v>225.30504973861574</c:v>
                </c:pt>
                <c:pt idx="65">
                  <c:v>225.86317170871894</c:v>
                </c:pt>
                <c:pt idx="66">
                  <c:v>226.34866645607869</c:v>
                </c:pt>
                <c:pt idx="67">
                  <c:v>226.77163762018455</c:v>
                </c:pt>
                <c:pt idx="68">
                  <c:v>227.14072030376724</c:v>
                </c:pt>
                <c:pt idx="69">
                  <c:v>227.46329786265528</c:v>
                </c:pt>
                <c:pt idx="70">
                  <c:v>227.74568764081033</c:v>
                </c:pt>
                <c:pt idx="71">
                  <c:v>227.99329953598811</c:v>
                </c:pt>
                <c:pt idx="72">
                  <c:v>228.21077102334979</c:v>
                </c:pt>
                <c:pt idx="73">
                  <c:v>228.40208192636439</c:v>
                </c:pt>
                <c:pt idx="74">
                  <c:v>228.57065185830379</c:v>
                </c:pt>
                <c:pt idx="75">
                  <c:v>228.7194228949657</c:v>
                </c:pt>
                <c:pt idx="76">
                  <c:v>228.8509296978437</c:v>
                </c:pt>
                <c:pt idx="77">
                  <c:v>228.96735899589859</c:v>
                </c:pt>
                <c:pt idx="78">
                  <c:v>229.07060005692398</c:v>
                </c:pt>
                <c:pt idx="79">
                  <c:v>229.16228753642781</c:v>
                </c:pt>
                <c:pt idx="80">
                  <c:v>229.24383788123515</c:v>
                </c:pt>
                <c:pt idx="81">
                  <c:v>229.31648028390561</c:v>
                </c:pt>
                <c:pt idx="82">
                  <c:v>229.38128302939165</c:v>
                </c:pt>
                <c:pt idx="83">
                  <c:v>229.43917594392138</c:v>
                </c:pt>
                <c:pt idx="84">
                  <c:v>229.49096954477491</c:v>
                </c:pt>
                <c:pt idx="85">
                  <c:v>229.53737139561872</c:v>
                </c:pt>
                <c:pt idx="86">
                  <c:v>229.57900009281448</c:v>
                </c:pt>
                <c:pt idx="87">
                  <c:v>229.61639724140909</c:v>
                </c:pt>
                <c:pt idx="88">
                  <c:v>229.65003772339986</c:v>
                </c:pt>
                <c:pt idx="89">
                  <c:v>229.68033851368978</c:v>
                </c:pt>
                <c:pt idx="90">
                  <c:v>229.7076662594913</c:v>
                </c:pt>
                <c:pt idx="91">
                  <c:v>229.7323438055937</c:v>
                </c:pt>
                <c:pt idx="92">
                  <c:v>229.75465581986833</c:v>
                </c:pt>
                <c:pt idx="93">
                  <c:v>229.77485364978997</c:v>
                </c:pt>
                <c:pt idx="94">
                  <c:v>229.79315952088751</c:v>
                </c:pt>
                <c:pt idx="95">
                  <c:v>229.8097701712943</c:v>
                </c:pt>
                <c:pt idx="96">
                  <c:v>229.82486000245163</c:v>
                </c:pt>
                <c:pt idx="97">
                  <c:v>229.83858381409868</c:v>
                </c:pt>
                <c:pt idx="98">
                  <c:v>229.85107918161145</c:v>
                </c:pt>
                <c:pt idx="99">
                  <c:v>229.86246852523107</c:v>
                </c:pt>
                <c:pt idx="100">
                  <c:v>229.87286091350757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1D-4051-83DD-DE8F26DB6AF6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AHT!$D$4:$D$35</c:f>
              <c:numCache>
                <c:formatCode>General</c:formatCode>
                <c:ptCount val="32"/>
                <c:pt idx="0">
                  <c:v>-196</c:v>
                </c:pt>
                <c:pt idx="1">
                  <c:v>-175</c:v>
                </c:pt>
                <c:pt idx="2">
                  <c:v>-150</c:v>
                </c:pt>
                <c:pt idx="3">
                  <c:v>-125</c:v>
                </c:pt>
                <c:pt idx="4">
                  <c:v>-100</c:v>
                </c:pt>
                <c:pt idx="5">
                  <c:v>-75</c:v>
                </c:pt>
                <c:pt idx="6">
                  <c:v>-50</c:v>
                </c:pt>
                <c:pt idx="7">
                  <c:v>-25</c:v>
                </c:pt>
                <c:pt idx="8">
                  <c:v>-5</c:v>
                </c:pt>
                <c:pt idx="9">
                  <c:v>0</c:v>
                </c:pt>
                <c:pt idx="10">
                  <c:v>5</c:v>
                </c:pt>
                <c:pt idx="11">
                  <c:v>25</c:v>
                </c:pt>
                <c:pt idx="12">
                  <c:v>50</c:v>
                </c:pt>
                <c:pt idx="13">
                  <c:v>75</c:v>
                </c:pt>
                <c:pt idx="14">
                  <c:v>100</c:v>
                </c:pt>
                <c:pt idx="15">
                  <c:v>125</c:v>
                </c:pt>
                <c:pt idx="16">
                  <c:v>150</c:v>
                </c:pt>
                <c:pt idx="17">
                  <c:v>175</c:v>
                </c:pt>
                <c:pt idx="18">
                  <c:v>200</c:v>
                </c:pt>
              </c:numCache>
            </c:numRef>
          </c:xVal>
          <c:yVal>
            <c:numRef>
              <c:f>AHT!$E$4:$E$35</c:f>
              <c:numCache>
                <c:formatCode>General</c:formatCode>
                <c:ptCount val="32"/>
                <c:pt idx="0">
                  <c:v>9.0508249055091028E-2</c:v>
                </c:pt>
                <c:pt idx="1">
                  <c:v>0.20954177471215019</c:v>
                </c:pt>
                <c:pt idx="2">
                  <c:v>0.56870332602598239</c:v>
                </c:pt>
                <c:pt idx="3">
                  <c:v>1.539355712585504</c:v>
                </c:pt>
                <c:pt idx="4">
                  <c:v>4.1368282912810486</c:v>
                </c:pt>
                <c:pt idx="5">
                  <c:v>10.907950830840363</c:v>
                </c:pt>
                <c:pt idx="6">
                  <c:v>27.416672065087042</c:v>
                </c:pt>
                <c:pt idx="7">
                  <c:v>61.856526915098875</c:v>
                </c:pt>
                <c:pt idx="8">
                  <c:v>103.53818061813008</c:v>
                </c:pt>
                <c:pt idx="9">
                  <c:v>115</c:v>
                </c:pt>
                <c:pt idx="10">
                  <c:v>126.46181938186992</c:v>
                </c:pt>
                <c:pt idx="11">
                  <c:v>168.14347308490113</c:v>
                </c:pt>
                <c:pt idx="12">
                  <c:v>202.58332793491297</c:v>
                </c:pt>
                <c:pt idx="13">
                  <c:v>219.09204916915962</c:v>
                </c:pt>
                <c:pt idx="14">
                  <c:v>225.86317170871894</c:v>
                </c:pt>
                <c:pt idx="15">
                  <c:v>228.46064428741448</c:v>
                </c:pt>
                <c:pt idx="16">
                  <c:v>229.43129667397403</c:v>
                </c:pt>
                <c:pt idx="17">
                  <c:v>229.79045822528786</c:v>
                </c:pt>
                <c:pt idx="18">
                  <c:v>229.92286946999269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1D-4051-83DD-DE8F26DB6AF6}"/>
            </c:ext>
          </c:extLst>
        </c:ser>
        <c:ser>
          <c:idx val="2"/>
          <c:order val="2"/>
          <c:tx>
            <c:v>DBTT</c:v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AHT!$I$42:$I$43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AHT!$J$42:$J$43</c:f>
              <c:numCache>
                <c:formatCode>General</c:formatCode>
                <c:ptCount val="2"/>
                <c:pt idx="0">
                  <c:v>0</c:v>
                </c:pt>
                <c:pt idx="1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82A-B00F-7CCA7DBCA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327224"/>
        <c:axId val="1073325256"/>
      </c:scatterChart>
      <c:valAx>
        <c:axId val="1073327224"/>
        <c:scaling>
          <c:orientation val="minMax"/>
          <c:max val="200"/>
          <c:min val="-2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Temperature (°C)</a:t>
                </a:r>
              </a:p>
            </c:rich>
          </c:tx>
          <c:layout>
            <c:manualLayout>
              <c:xMode val="edge"/>
              <c:yMode val="edge"/>
              <c:x val="0.43964527838275536"/>
              <c:y val="0.921566558134511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325256"/>
        <c:crosses val="autoZero"/>
        <c:crossBetween val="midCat"/>
      </c:valAx>
      <c:valAx>
        <c:axId val="107332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  <a:sym typeface="Symbol" panose="05050102010706020507" pitchFamily="18" charset="2"/>
                  </a:rPr>
                  <a:t>Y (T)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"/>
              <c:y val="0.362085531131181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32722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7.2018763611995343E-2"/>
          <c:y val="0.1015361014610723"/>
          <c:w val="0.12041622456767372"/>
          <c:h val="7.027780236768412E-2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401891252955071E-2"/>
          <c:y val="4.2907024364089108E-2"/>
          <c:w val="0.91154609929078012"/>
          <c:h val="0.79592053231376325"/>
        </c:manualLayout>
      </c:layout>
      <c:scatterChart>
        <c:scatterStyle val="line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BUR!$W$3:$W$103</c:f>
              <c:numCache>
                <c:formatCode>General</c:formatCode>
                <c:ptCount val="101"/>
                <c:pt idx="0">
                  <c:v>-200</c:v>
                </c:pt>
                <c:pt idx="1">
                  <c:v>-195</c:v>
                </c:pt>
                <c:pt idx="2">
                  <c:v>-190</c:v>
                </c:pt>
                <c:pt idx="3">
                  <c:v>-185</c:v>
                </c:pt>
                <c:pt idx="4">
                  <c:v>-180</c:v>
                </c:pt>
                <c:pt idx="5">
                  <c:v>-175</c:v>
                </c:pt>
                <c:pt idx="6">
                  <c:v>-170</c:v>
                </c:pt>
                <c:pt idx="7">
                  <c:v>-165</c:v>
                </c:pt>
                <c:pt idx="8">
                  <c:v>-160</c:v>
                </c:pt>
                <c:pt idx="9">
                  <c:v>-155</c:v>
                </c:pt>
                <c:pt idx="10">
                  <c:v>-150</c:v>
                </c:pt>
                <c:pt idx="11">
                  <c:v>-145</c:v>
                </c:pt>
                <c:pt idx="12">
                  <c:v>-140</c:v>
                </c:pt>
                <c:pt idx="13">
                  <c:v>-135</c:v>
                </c:pt>
                <c:pt idx="14">
                  <c:v>-130</c:v>
                </c:pt>
                <c:pt idx="15">
                  <c:v>-125</c:v>
                </c:pt>
                <c:pt idx="16">
                  <c:v>-120</c:v>
                </c:pt>
                <c:pt idx="17">
                  <c:v>-115</c:v>
                </c:pt>
                <c:pt idx="18">
                  <c:v>-110</c:v>
                </c:pt>
                <c:pt idx="19">
                  <c:v>-105</c:v>
                </c:pt>
                <c:pt idx="20">
                  <c:v>-100</c:v>
                </c:pt>
                <c:pt idx="21">
                  <c:v>-95</c:v>
                </c:pt>
                <c:pt idx="22">
                  <c:v>-90</c:v>
                </c:pt>
                <c:pt idx="23">
                  <c:v>-85</c:v>
                </c:pt>
                <c:pt idx="24">
                  <c:v>-80</c:v>
                </c:pt>
                <c:pt idx="25">
                  <c:v>-75</c:v>
                </c:pt>
                <c:pt idx="26">
                  <c:v>-70</c:v>
                </c:pt>
                <c:pt idx="27">
                  <c:v>-65</c:v>
                </c:pt>
                <c:pt idx="28">
                  <c:v>-60</c:v>
                </c:pt>
                <c:pt idx="29">
                  <c:v>-55</c:v>
                </c:pt>
                <c:pt idx="30">
                  <c:v>-50</c:v>
                </c:pt>
                <c:pt idx="31">
                  <c:v>-45</c:v>
                </c:pt>
                <c:pt idx="32">
                  <c:v>-40</c:v>
                </c:pt>
                <c:pt idx="33">
                  <c:v>-35</c:v>
                </c:pt>
                <c:pt idx="34">
                  <c:v>-30</c:v>
                </c:pt>
                <c:pt idx="35">
                  <c:v>-25</c:v>
                </c:pt>
                <c:pt idx="36">
                  <c:v>-20</c:v>
                </c:pt>
                <c:pt idx="37">
                  <c:v>-15</c:v>
                </c:pt>
                <c:pt idx="38">
                  <c:v>-10</c:v>
                </c:pt>
                <c:pt idx="39">
                  <c:v>-5</c:v>
                </c:pt>
                <c:pt idx="40">
                  <c:v>0</c:v>
                </c:pt>
                <c:pt idx="41">
                  <c:v>5</c:v>
                </c:pt>
                <c:pt idx="42">
                  <c:v>10</c:v>
                </c:pt>
                <c:pt idx="43">
                  <c:v>15</c:v>
                </c:pt>
                <c:pt idx="44">
                  <c:v>20</c:v>
                </c:pt>
                <c:pt idx="45">
                  <c:v>25</c:v>
                </c:pt>
                <c:pt idx="46">
                  <c:v>30</c:v>
                </c:pt>
                <c:pt idx="47">
                  <c:v>35</c:v>
                </c:pt>
                <c:pt idx="48">
                  <c:v>40</c:v>
                </c:pt>
                <c:pt idx="49">
                  <c:v>45</c:v>
                </c:pt>
                <c:pt idx="50">
                  <c:v>50</c:v>
                </c:pt>
                <c:pt idx="51">
                  <c:v>55</c:v>
                </c:pt>
                <c:pt idx="52">
                  <c:v>60</c:v>
                </c:pt>
                <c:pt idx="53">
                  <c:v>65</c:v>
                </c:pt>
                <c:pt idx="54">
                  <c:v>70</c:v>
                </c:pt>
                <c:pt idx="55">
                  <c:v>75</c:v>
                </c:pt>
                <c:pt idx="56">
                  <c:v>80</c:v>
                </c:pt>
                <c:pt idx="57">
                  <c:v>85</c:v>
                </c:pt>
                <c:pt idx="58">
                  <c:v>90</c:v>
                </c:pt>
                <c:pt idx="59">
                  <c:v>95</c:v>
                </c:pt>
                <c:pt idx="60">
                  <c:v>100</c:v>
                </c:pt>
                <c:pt idx="61">
                  <c:v>105</c:v>
                </c:pt>
                <c:pt idx="62">
                  <c:v>110</c:v>
                </c:pt>
                <c:pt idx="63">
                  <c:v>115</c:v>
                </c:pt>
                <c:pt idx="64">
                  <c:v>120</c:v>
                </c:pt>
                <c:pt idx="65">
                  <c:v>125</c:v>
                </c:pt>
                <c:pt idx="66">
                  <c:v>130</c:v>
                </c:pt>
                <c:pt idx="67">
                  <c:v>135</c:v>
                </c:pt>
                <c:pt idx="68">
                  <c:v>140</c:v>
                </c:pt>
                <c:pt idx="69">
                  <c:v>145</c:v>
                </c:pt>
                <c:pt idx="70">
                  <c:v>150</c:v>
                </c:pt>
                <c:pt idx="71">
                  <c:v>155</c:v>
                </c:pt>
                <c:pt idx="72">
                  <c:v>160</c:v>
                </c:pt>
                <c:pt idx="73">
                  <c:v>165</c:v>
                </c:pt>
                <c:pt idx="74">
                  <c:v>170</c:v>
                </c:pt>
                <c:pt idx="75">
                  <c:v>175</c:v>
                </c:pt>
                <c:pt idx="76">
                  <c:v>180</c:v>
                </c:pt>
                <c:pt idx="77">
                  <c:v>185</c:v>
                </c:pt>
                <c:pt idx="78">
                  <c:v>190</c:v>
                </c:pt>
                <c:pt idx="79">
                  <c:v>195</c:v>
                </c:pt>
                <c:pt idx="80">
                  <c:v>200</c:v>
                </c:pt>
                <c:pt idx="81">
                  <c:v>205</c:v>
                </c:pt>
                <c:pt idx="82">
                  <c:v>210</c:v>
                </c:pt>
                <c:pt idx="83">
                  <c:v>215</c:v>
                </c:pt>
                <c:pt idx="84">
                  <c:v>220</c:v>
                </c:pt>
                <c:pt idx="85">
                  <c:v>225</c:v>
                </c:pt>
                <c:pt idx="86">
                  <c:v>230</c:v>
                </c:pt>
                <c:pt idx="87">
                  <c:v>235</c:v>
                </c:pt>
                <c:pt idx="88">
                  <c:v>240</c:v>
                </c:pt>
                <c:pt idx="89">
                  <c:v>245</c:v>
                </c:pt>
                <c:pt idx="90">
                  <c:v>250</c:v>
                </c:pt>
                <c:pt idx="91">
                  <c:v>255</c:v>
                </c:pt>
                <c:pt idx="92">
                  <c:v>260</c:v>
                </c:pt>
                <c:pt idx="93">
                  <c:v>265</c:v>
                </c:pt>
                <c:pt idx="94">
                  <c:v>270</c:v>
                </c:pt>
                <c:pt idx="95">
                  <c:v>275</c:v>
                </c:pt>
                <c:pt idx="96">
                  <c:v>280</c:v>
                </c:pt>
                <c:pt idx="97">
                  <c:v>285</c:v>
                </c:pt>
                <c:pt idx="98">
                  <c:v>290</c:v>
                </c:pt>
                <c:pt idx="99">
                  <c:v>295</c:v>
                </c:pt>
                <c:pt idx="100">
                  <c:v>300</c:v>
                </c:pt>
              </c:numCache>
            </c:numRef>
          </c:xVal>
          <c:yVal>
            <c:numRef>
              <c:f>BUR!$Y$3:$Y$103</c:f>
              <c:numCache>
                <c:formatCode>General</c:formatCode>
                <c:ptCount val="101"/>
                <c:pt idx="0">
                  <c:v>4.7406533316086831E-7</c:v>
                </c:pt>
                <c:pt idx="1">
                  <c:v>7.8160159848386644E-7</c:v>
                </c:pt>
                <c:pt idx="2">
                  <c:v>1.2886431806335715E-6</c:v>
                </c:pt>
                <c:pt idx="3">
                  <c:v>2.1246134222532367E-6</c:v>
                </c:pt>
                <c:pt idx="4">
                  <c:v>3.5028953412839046E-6</c:v>
                </c:pt>
                <c:pt idx="5">
                  <c:v>5.7752980582111576E-6</c:v>
                </c:pt>
                <c:pt idx="6">
                  <c:v>9.5218567532058836E-6</c:v>
                </c:pt>
                <c:pt idx="7">
                  <c:v>1.5698887765570202E-5</c:v>
                </c:pt>
                <c:pt idx="8">
                  <c:v>2.5883090185429595E-5</c:v>
                </c:pt>
                <c:pt idx="9">
                  <c:v>4.2674001340167504E-5</c:v>
                </c:pt>
                <c:pt idx="10">
                  <c:v>7.0357533715419927E-5</c:v>
                </c:pt>
                <c:pt idx="11">
                  <c:v>1.1599996239061428E-4</c:v>
                </c:pt>
                <c:pt idx="12">
                  <c:v>1.9125160539382061E-4</c:v>
                </c:pt>
                <c:pt idx="13">
                  <c:v>3.153205898683394E-4</c:v>
                </c:pt>
                <c:pt idx="14">
                  <c:v>5.1987576360564252E-4</c:v>
                </c:pt>
                <c:pt idx="15">
                  <c:v>8.5713022957809417E-4</c:v>
                </c:pt>
                <c:pt idx="16">
                  <c:v>1.4131688412654883E-3</c:v>
                </c:pt>
                <c:pt idx="17">
                  <c:v>2.3299215276850636E-3</c:v>
                </c:pt>
                <c:pt idx="18">
                  <c:v>3.8413911817565018E-3</c:v>
                </c:pt>
                <c:pt idx="19">
                  <c:v>6.3333833504418463E-3</c:v>
                </c:pt>
                <c:pt idx="20">
                  <c:v>1.0441983845371514E-2</c:v>
                </c:pt>
                <c:pt idx="21">
                  <c:v>1.7215920874171134E-2</c:v>
                </c:pt>
                <c:pt idx="22">
                  <c:v>2.8384254939936293E-2</c:v>
                </c:pt>
                <c:pt idx="23">
                  <c:v>4.6797724872448161E-2</c:v>
                </c:pt>
                <c:pt idx="24">
                  <c:v>7.715640441757772E-2</c:v>
                </c:pt>
                <c:pt idx="25">
                  <c:v>0.12720940513400172</c:v>
                </c:pt>
                <c:pt idx="26">
                  <c:v>0.20973285207753872</c:v>
                </c:pt>
                <c:pt idx="27">
                  <c:v>0.34579101438484172</c:v>
                </c:pt>
                <c:pt idx="28">
                  <c:v>0.57011300063326242</c:v>
                </c:pt>
                <c:pt idx="29">
                  <c:v>0.93995743084673555</c:v>
                </c:pt>
                <c:pt idx="30">
                  <c:v>1.5497278097896574</c:v>
                </c:pt>
                <c:pt idx="31">
                  <c:v>2.5550692037957305</c:v>
                </c:pt>
                <c:pt idx="32">
                  <c:v>4.2125969444088618</c:v>
                </c:pt>
                <c:pt idx="33">
                  <c:v>6.9453981871332564</c:v>
                </c:pt>
                <c:pt idx="34">
                  <c:v>11.451025724608598</c:v>
                </c:pt>
                <c:pt idx="35">
                  <c:v>18.879549683470497</c:v>
                </c:pt>
                <c:pt idx="36">
                  <c:v>31.127115138005138</c:v>
                </c:pt>
                <c:pt idx="37">
                  <c:v>51.319935264250347</c:v>
                </c:pt>
                <c:pt idx="38">
                  <c:v>84.611887339905181</c:v>
                </c:pt>
                <c:pt idx="39">
                  <c:v>139.40840269248844</c:v>
                </c:pt>
                <c:pt idx="40">
                  <c:v>214.5975880534657</c:v>
                </c:pt>
                <c:pt idx="41">
                  <c:v>229.84559883343468</c:v>
                </c:pt>
                <c:pt idx="42">
                  <c:v>229.99895582768821</c:v>
                </c:pt>
                <c:pt idx="43">
                  <c:v>229.99999296424778</c:v>
                </c:pt>
                <c:pt idx="44">
                  <c:v>229.99999995259347</c:v>
                </c:pt>
                <c:pt idx="45">
                  <c:v>229.99999999968057</c:v>
                </c:pt>
                <c:pt idx="46">
                  <c:v>229.99999999999787</c:v>
                </c:pt>
                <c:pt idx="47">
                  <c:v>230</c:v>
                </c:pt>
                <c:pt idx="48">
                  <c:v>230</c:v>
                </c:pt>
                <c:pt idx="49">
                  <c:v>230</c:v>
                </c:pt>
                <c:pt idx="50">
                  <c:v>230</c:v>
                </c:pt>
                <c:pt idx="51">
                  <c:v>230</c:v>
                </c:pt>
                <c:pt idx="52">
                  <c:v>230</c:v>
                </c:pt>
                <c:pt idx="53">
                  <c:v>230</c:v>
                </c:pt>
                <c:pt idx="54">
                  <c:v>230</c:v>
                </c:pt>
                <c:pt idx="55">
                  <c:v>230</c:v>
                </c:pt>
                <c:pt idx="56">
                  <c:v>230</c:v>
                </c:pt>
                <c:pt idx="57">
                  <c:v>230</c:v>
                </c:pt>
                <c:pt idx="58">
                  <c:v>230</c:v>
                </c:pt>
                <c:pt idx="59">
                  <c:v>230</c:v>
                </c:pt>
                <c:pt idx="60">
                  <c:v>230</c:v>
                </c:pt>
                <c:pt idx="61">
                  <c:v>230</c:v>
                </c:pt>
                <c:pt idx="62">
                  <c:v>230</c:v>
                </c:pt>
                <c:pt idx="63">
                  <c:v>230</c:v>
                </c:pt>
                <c:pt idx="64">
                  <c:v>230</c:v>
                </c:pt>
                <c:pt idx="65">
                  <c:v>230</c:v>
                </c:pt>
                <c:pt idx="66">
                  <c:v>230</c:v>
                </c:pt>
                <c:pt idx="67">
                  <c:v>230</c:v>
                </c:pt>
                <c:pt idx="68">
                  <c:v>230</c:v>
                </c:pt>
                <c:pt idx="69">
                  <c:v>230</c:v>
                </c:pt>
                <c:pt idx="70">
                  <c:v>230</c:v>
                </c:pt>
                <c:pt idx="71">
                  <c:v>230</c:v>
                </c:pt>
                <c:pt idx="72">
                  <c:v>230</c:v>
                </c:pt>
                <c:pt idx="73">
                  <c:v>230</c:v>
                </c:pt>
                <c:pt idx="74">
                  <c:v>230</c:v>
                </c:pt>
                <c:pt idx="75">
                  <c:v>230</c:v>
                </c:pt>
                <c:pt idx="76">
                  <c:v>230</c:v>
                </c:pt>
                <c:pt idx="77">
                  <c:v>230</c:v>
                </c:pt>
                <c:pt idx="78">
                  <c:v>230</c:v>
                </c:pt>
                <c:pt idx="79">
                  <c:v>230</c:v>
                </c:pt>
                <c:pt idx="80">
                  <c:v>230</c:v>
                </c:pt>
                <c:pt idx="81">
                  <c:v>230</c:v>
                </c:pt>
                <c:pt idx="82">
                  <c:v>230</c:v>
                </c:pt>
                <c:pt idx="83">
                  <c:v>230</c:v>
                </c:pt>
                <c:pt idx="84">
                  <c:v>230</c:v>
                </c:pt>
                <c:pt idx="85">
                  <c:v>230</c:v>
                </c:pt>
                <c:pt idx="86">
                  <c:v>230</c:v>
                </c:pt>
                <c:pt idx="87">
                  <c:v>230</c:v>
                </c:pt>
                <c:pt idx="88">
                  <c:v>230</c:v>
                </c:pt>
                <c:pt idx="89">
                  <c:v>230</c:v>
                </c:pt>
                <c:pt idx="90">
                  <c:v>230</c:v>
                </c:pt>
                <c:pt idx="91">
                  <c:v>230</c:v>
                </c:pt>
                <c:pt idx="92">
                  <c:v>230</c:v>
                </c:pt>
                <c:pt idx="93">
                  <c:v>230</c:v>
                </c:pt>
                <c:pt idx="94">
                  <c:v>230</c:v>
                </c:pt>
                <c:pt idx="95">
                  <c:v>230</c:v>
                </c:pt>
                <c:pt idx="96">
                  <c:v>230</c:v>
                </c:pt>
                <c:pt idx="97">
                  <c:v>230</c:v>
                </c:pt>
                <c:pt idx="98">
                  <c:v>230</c:v>
                </c:pt>
                <c:pt idx="99">
                  <c:v>230</c:v>
                </c:pt>
                <c:pt idx="100">
                  <c:v>230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C8-4C3B-9C50-C63DA9C4D937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BUR!$D$4:$D$35</c:f>
              <c:numCache>
                <c:formatCode>General</c:formatCode>
                <c:ptCount val="32"/>
                <c:pt idx="0">
                  <c:v>-196</c:v>
                </c:pt>
                <c:pt idx="1">
                  <c:v>-175</c:v>
                </c:pt>
                <c:pt idx="2">
                  <c:v>-150</c:v>
                </c:pt>
                <c:pt idx="3">
                  <c:v>-125</c:v>
                </c:pt>
                <c:pt idx="4">
                  <c:v>-100</c:v>
                </c:pt>
                <c:pt idx="5">
                  <c:v>-75</c:v>
                </c:pt>
                <c:pt idx="6">
                  <c:v>-50</c:v>
                </c:pt>
                <c:pt idx="7">
                  <c:v>-25</c:v>
                </c:pt>
                <c:pt idx="8">
                  <c:v>-5</c:v>
                </c:pt>
                <c:pt idx="9">
                  <c:v>0</c:v>
                </c:pt>
                <c:pt idx="10">
                  <c:v>5</c:v>
                </c:pt>
                <c:pt idx="11">
                  <c:v>25</c:v>
                </c:pt>
                <c:pt idx="12">
                  <c:v>50</c:v>
                </c:pt>
                <c:pt idx="13">
                  <c:v>75</c:v>
                </c:pt>
                <c:pt idx="14">
                  <c:v>100</c:v>
                </c:pt>
                <c:pt idx="15">
                  <c:v>125</c:v>
                </c:pt>
                <c:pt idx="16">
                  <c:v>150</c:v>
                </c:pt>
                <c:pt idx="17">
                  <c:v>175</c:v>
                </c:pt>
                <c:pt idx="18">
                  <c:v>200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BUR!$E$4:$E$35</c:f>
              <c:numCache>
                <c:formatCode>General</c:formatCode>
                <c:ptCount val="32"/>
                <c:pt idx="0">
                  <c:v>9.0508249055091028E-2</c:v>
                </c:pt>
                <c:pt idx="1">
                  <c:v>0.20954177471215019</c:v>
                </c:pt>
                <c:pt idx="2">
                  <c:v>0.56870332602598239</c:v>
                </c:pt>
                <c:pt idx="3">
                  <c:v>1.539355712585504</c:v>
                </c:pt>
                <c:pt idx="4">
                  <c:v>4.1368282912810486</c:v>
                </c:pt>
                <c:pt idx="5">
                  <c:v>10.907950830840363</c:v>
                </c:pt>
                <c:pt idx="6">
                  <c:v>27.416672065087042</c:v>
                </c:pt>
                <c:pt idx="7">
                  <c:v>61.856526915098875</c:v>
                </c:pt>
                <c:pt idx="8">
                  <c:v>103.53818061813008</c:v>
                </c:pt>
                <c:pt idx="9">
                  <c:v>115</c:v>
                </c:pt>
                <c:pt idx="10">
                  <c:v>126.46181938186992</c:v>
                </c:pt>
                <c:pt idx="11">
                  <c:v>168.14347308490113</c:v>
                </c:pt>
                <c:pt idx="12">
                  <c:v>202.58332793491297</c:v>
                </c:pt>
                <c:pt idx="13">
                  <c:v>219.09204916915962</c:v>
                </c:pt>
                <c:pt idx="14">
                  <c:v>225.86317170871894</c:v>
                </c:pt>
                <c:pt idx="15">
                  <c:v>228.46064428741448</c:v>
                </c:pt>
                <c:pt idx="16">
                  <c:v>229.43129667397403</c:v>
                </c:pt>
                <c:pt idx="17">
                  <c:v>229.79045822528786</c:v>
                </c:pt>
                <c:pt idx="18">
                  <c:v>229.92286946999269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C8-4C3B-9C50-C63DA9C4D937}"/>
            </c:ext>
          </c:extLst>
        </c:ser>
        <c:ser>
          <c:idx val="2"/>
          <c:order val="2"/>
          <c:tx>
            <c:v>DBTT</c:v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BUR!$G$39:$G$40</c:f>
              <c:numCache>
                <c:formatCode>General</c:formatCode>
                <c:ptCount val="2"/>
                <c:pt idx="0">
                  <c:v>-6.9304947659516261</c:v>
                </c:pt>
                <c:pt idx="1">
                  <c:v>-6.9304947659516261</c:v>
                </c:pt>
              </c:numCache>
            </c:numRef>
          </c:xVal>
          <c:yVal>
            <c:numRef>
              <c:f>BUR!$H$39:$H$40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C8-4C3B-9C50-C63DA9C4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327224"/>
        <c:axId val="1073325256"/>
      </c:scatterChart>
      <c:valAx>
        <c:axId val="1073327224"/>
        <c:scaling>
          <c:orientation val="minMax"/>
          <c:max val="200"/>
          <c:min val="-2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Temperature (°C)</a:t>
                </a:r>
              </a:p>
            </c:rich>
          </c:tx>
          <c:layout>
            <c:manualLayout>
              <c:xMode val="edge"/>
              <c:yMode val="edge"/>
              <c:x val="0.43964527838275536"/>
              <c:y val="0.921566558134511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325256"/>
        <c:crosses val="autoZero"/>
        <c:crossBetween val="midCat"/>
      </c:valAx>
      <c:valAx>
        <c:axId val="107332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  <a:sym typeface="Symbol" panose="05050102010706020507" pitchFamily="18" charset="2"/>
                  </a:rPr>
                  <a:t>Y (T)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5.6737588652482273E-3"/>
              <c:y val="0.37922349633922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32722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7.2018763611995343E-2"/>
          <c:y val="0.1015361014610723"/>
          <c:w val="0.12041622456767372"/>
          <c:h val="7.027780236768412E-2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945626477541373E-2"/>
          <c:y val="4.2907024364089108E-2"/>
          <c:w val="0.92100236406619385"/>
          <c:h val="0.79592053231376325"/>
        </c:manualLayout>
      </c:layout>
      <c:scatterChart>
        <c:scatterStyle val="line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KHT!$W$3:$W$103</c:f>
              <c:numCache>
                <c:formatCode>General</c:formatCode>
                <c:ptCount val="101"/>
                <c:pt idx="0">
                  <c:v>-200</c:v>
                </c:pt>
                <c:pt idx="1">
                  <c:v>-195</c:v>
                </c:pt>
                <c:pt idx="2">
                  <c:v>-190</c:v>
                </c:pt>
                <c:pt idx="3">
                  <c:v>-185</c:v>
                </c:pt>
                <c:pt idx="4">
                  <c:v>-180</c:v>
                </c:pt>
                <c:pt idx="5">
                  <c:v>-175</c:v>
                </c:pt>
                <c:pt idx="6">
                  <c:v>-170</c:v>
                </c:pt>
                <c:pt idx="7">
                  <c:v>-165</c:v>
                </c:pt>
                <c:pt idx="8">
                  <c:v>-160</c:v>
                </c:pt>
                <c:pt idx="9">
                  <c:v>-155</c:v>
                </c:pt>
                <c:pt idx="10">
                  <c:v>-150</c:v>
                </c:pt>
                <c:pt idx="11">
                  <c:v>-145</c:v>
                </c:pt>
                <c:pt idx="12">
                  <c:v>-140</c:v>
                </c:pt>
                <c:pt idx="13">
                  <c:v>-135</c:v>
                </c:pt>
                <c:pt idx="14">
                  <c:v>-130</c:v>
                </c:pt>
                <c:pt idx="15">
                  <c:v>-125</c:v>
                </c:pt>
                <c:pt idx="16">
                  <c:v>-120</c:v>
                </c:pt>
                <c:pt idx="17">
                  <c:v>-115</c:v>
                </c:pt>
                <c:pt idx="18">
                  <c:v>-110</c:v>
                </c:pt>
                <c:pt idx="19">
                  <c:v>-105</c:v>
                </c:pt>
                <c:pt idx="20">
                  <c:v>-100</c:v>
                </c:pt>
                <c:pt idx="21">
                  <c:v>-95</c:v>
                </c:pt>
                <c:pt idx="22">
                  <c:v>-90</c:v>
                </c:pt>
                <c:pt idx="23">
                  <c:v>-85</c:v>
                </c:pt>
                <c:pt idx="24">
                  <c:v>-80</c:v>
                </c:pt>
                <c:pt idx="25">
                  <c:v>-75</c:v>
                </c:pt>
                <c:pt idx="26">
                  <c:v>-70</c:v>
                </c:pt>
                <c:pt idx="27">
                  <c:v>-65</c:v>
                </c:pt>
                <c:pt idx="28">
                  <c:v>-60</c:v>
                </c:pt>
                <c:pt idx="29">
                  <c:v>-55</c:v>
                </c:pt>
                <c:pt idx="30">
                  <c:v>-50</c:v>
                </c:pt>
                <c:pt idx="31">
                  <c:v>-45</c:v>
                </c:pt>
                <c:pt idx="32">
                  <c:v>-40</c:v>
                </c:pt>
                <c:pt idx="33">
                  <c:v>-35</c:v>
                </c:pt>
                <c:pt idx="34">
                  <c:v>-30</c:v>
                </c:pt>
                <c:pt idx="35">
                  <c:v>-25</c:v>
                </c:pt>
                <c:pt idx="36">
                  <c:v>-20</c:v>
                </c:pt>
                <c:pt idx="37">
                  <c:v>-15</c:v>
                </c:pt>
                <c:pt idx="38">
                  <c:v>-10</c:v>
                </c:pt>
                <c:pt idx="39">
                  <c:v>-5</c:v>
                </c:pt>
                <c:pt idx="40">
                  <c:v>0</c:v>
                </c:pt>
                <c:pt idx="41">
                  <c:v>5</c:v>
                </c:pt>
                <c:pt idx="42">
                  <c:v>10</c:v>
                </c:pt>
                <c:pt idx="43">
                  <c:v>15</c:v>
                </c:pt>
                <c:pt idx="44">
                  <c:v>20</c:v>
                </c:pt>
                <c:pt idx="45">
                  <c:v>25</c:v>
                </c:pt>
                <c:pt idx="46">
                  <c:v>30</c:v>
                </c:pt>
                <c:pt idx="47">
                  <c:v>35</c:v>
                </c:pt>
                <c:pt idx="48">
                  <c:v>40</c:v>
                </c:pt>
                <c:pt idx="49">
                  <c:v>45</c:v>
                </c:pt>
                <c:pt idx="50">
                  <c:v>50</c:v>
                </c:pt>
                <c:pt idx="51">
                  <c:v>55</c:v>
                </c:pt>
                <c:pt idx="52">
                  <c:v>60</c:v>
                </c:pt>
                <c:pt idx="53">
                  <c:v>65</c:v>
                </c:pt>
                <c:pt idx="54">
                  <c:v>70</c:v>
                </c:pt>
                <c:pt idx="55">
                  <c:v>75</c:v>
                </c:pt>
                <c:pt idx="56">
                  <c:v>80</c:v>
                </c:pt>
                <c:pt idx="57">
                  <c:v>85</c:v>
                </c:pt>
                <c:pt idx="58">
                  <c:v>90</c:v>
                </c:pt>
                <c:pt idx="59">
                  <c:v>95</c:v>
                </c:pt>
                <c:pt idx="60">
                  <c:v>100</c:v>
                </c:pt>
                <c:pt idx="61">
                  <c:v>105</c:v>
                </c:pt>
                <c:pt idx="62">
                  <c:v>110</c:v>
                </c:pt>
                <c:pt idx="63">
                  <c:v>115</c:v>
                </c:pt>
                <c:pt idx="64">
                  <c:v>120</c:v>
                </c:pt>
                <c:pt idx="65">
                  <c:v>125</c:v>
                </c:pt>
                <c:pt idx="66">
                  <c:v>130</c:v>
                </c:pt>
                <c:pt idx="67">
                  <c:v>135</c:v>
                </c:pt>
                <c:pt idx="68">
                  <c:v>140</c:v>
                </c:pt>
                <c:pt idx="69">
                  <c:v>145</c:v>
                </c:pt>
                <c:pt idx="70">
                  <c:v>150</c:v>
                </c:pt>
                <c:pt idx="71">
                  <c:v>155</c:v>
                </c:pt>
                <c:pt idx="72">
                  <c:v>160</c:v>
                </c:pt>
                <c:pt idx="73">
                  <c:v>165</c:v>
                </c:pt>
                <c:pt idx="74">
                  <c:v>170</c:v>
                </c:pt>
                <c:pt idx="75">
                  <c:v>175</c:v>
                </c:pt>
                <c:pt idx="76">
                  <c:v>180</c:v>
                </c:pt>
                <c:pt idx="77">
                  <c:v>185</c:v>
                </c:pt>
                <c:pt idx="78">
                  <c:v>190</c:v>
                </c:pt>
                <c:pt idx="79">
                  <c:v>195</c:v>
                </c:pt>
                <c:pt idx="80">
                  <c:v>200</c:v>
                </c:pt>
                <c:pt idx="81">
                  <c:v>205</c:v>
                </c:pt>
                <c:pt idx="82">
                  <c:v>210</c:v>
                </c:pt>
                <c:pt idx="83">
                  <c:v>215</c:v>
                </c:pt>
                <c:pt idx="84">
                  <c:v>220</c:v>
                </c:pt>
                <c:pt idx="85">
                  <c:v>225</c:v>
                </c:pt>
                <c:pt idx="86">
                  <c:v>230</c:v>
                </c:pt>
                <c:pt idx="87">
                  <c:v>235</c:v>
                </c:pt>
                <c:pt idx="88">
                  <c:v>240</c:v>
                </c:pt>
                <c:pt idx="89">
                  <c:v>245</c:v>
                </c:pt>
                <c:pt idx="90">
                  <c:v>250</c:v>
                </c:pt>
                <c:pt idx="91">
                  <c:v>255</c:v>
                </c:pt>
                <c:pt idx="92">
                  <c:v>260</c:v>
                </c:pt>
                <c:pt idx="93">
                  <c:v>265</c:v>
                </c:pt>
                <c:pt idx="94">
                  <c:v>270</c:v>
                </c:pt>
                <c:pt idx="95">
                  <c:v>275</c:v>
                </c:pt>
                <c:pt idx="96">
                  <c:v>280</c:v>
                </c:pt>
                <c:pt idx="97">
                  <c:v>285</c:v>
                </c:pt>
                <c:pt idx="98">
                  <c:v>290</c:v>
                </c:pt>
                <c:pt idx="99">
                  <c:v>295</c:v>
                </c:pt>
                <c:pt idx="100">
                  <c:v>300</c:v>
                </c:pt>
              </c:numCache>
            </c:numRef>
          </c:xVal>
          <c:yVal>
            <c:numRef>
              <c:f>KHT!$Z$3:$Z$103</c:f>
              <c:numCache>
                <c:formatCode>General</c:formatCode>
                <c:ptCount val="101"/>
                <c:pt idx="0">
                  <c:v>4.8856073935853269E-16</c:v>
                </c:pt>
                <c:pt idx="1">
                  <c:v>1.3280457798968153E-15</c:v>
                </c:pt>
                <c:pt idx="2">
                  <c:v>3.6100027108552343E-15</c:v>
                </c:pt>
                <c:pt idx="3">
                  <c:v>9.8130047696056751E-15</c:v>
                </c:pt>
                <c:pt idx="4">
                  <c:v>2.6674512547801045E-14</c:v>
                </c:pt>
                <c:pt idx="5">
                  <c:v>7.2508842741690373E-14</c:v>
                </c:pt>
                <c:pt idx="6">
                  <c:v>1.970994696273315E-13</c:v>
                </c:pt>
                <c:pt idx="7">
                  <c:v>5.3577190668689075E-13</c:v>
                </c:pt>
                <c:pt idx="8">
                  <c:v>1.4563790381458301E-12</c:v>
                </c:pt>
                <c:pt idx="9">
                  <c:v>3.9588486747404732E-12</c:v>
                </c:pt>
                <c:pt idx="10">
                  <c:v>1.0761266414166201E-11</c:v>
                </c:pt>
                <c:pt idx="11">
                  <c:v>2.9252154944834613E-11</c:v>
                </c:pt>
                <c:pt idx="12">
                  <c:v>7.9515601229812333E-11</c:v>
                </c:pt>
                <c:pt idx="13">
                  <c:v>2.1614581390199458E-10</c:v>
                </c:pt>
                <c:pt idx="14">
                  <c:v>5.8754523822728236E-10</c:v>
                </c:pt>
                <c:pt idx="15">
                  <c:v>1.5971135444708623E-9</c:v>
                </c:pt>
                <c:pt idx="16">
                  <c:v>4.3414047259209624E-9</c:v>
                </c:pt>
                <c:pt idx="17">
                  <c:v>1.1801161576457174E-8</c:v>
                </c:pt>
                <c:pt idx="18">
                  <c:v>3.2078883067992636E-8</c:v>
                </c:pt>
                <c:pt idx="19">
                  <c:v>8.7199444920986925E-8</c:v>
                </c:pt>
                <c:pt idx="20">
                  <c:v>2.3703266658043415E-7</c:v>
                </c:pt>
                <c:pt idx="21">
                  <c:v>6.4432159031678576E-7</c:v>
                </c:pt>
                <c:pt idx="22">
                  <c:v>1.7514476706419523E-6</c:v>
                </c:pt>
                <c:pt idx="23">
                  <c:v>4.7609283766029418E-6</c:v>
                </c:pt>
                <c:pt idx="24">
                  <c:v>1.2941545092714798E-5</c:v>
                </c:pt>
                <c:pt idx="25">
                  <c:v>3.5178766857709963E-5</c:v>
                </c:pt>
                <c:pt idx="26">
                  <c:v>9.5625802696910304E-5</c:v>
                </c:pt>
                <c:pt idx="27">
                  <c:v>2.5993788180282126E-4</c:v>
                </c:pt>
                <c:pt idx="28">
                  <c:v>7.0658442063274414E-4</c:v>
                </c:pt>
                <c:pt idx="29">
                  <c:v>1.9206955908782509E-3</c:v>
                </c:pt>
                <c:pt idx="30">
                  <c:v>5.220991922685758E-3</c:v>
                </c:pt>
                <c:pt idx="31">
                  <c:v>1.419212746996815E-2</c:v>
                </c:pt>
                <c:pt idx="32">
                  <c:v>3.857820220878886E-2</c:v>
                </c:pt>
                <c:pt idx="33">
                  <c:v>0.10486642603876936</c:v>
                </c:pt>
                <c:pt idx="34">
                  <c:v>0.28505650031663121</c:v>
                </c:pt>
                <c:pt idx="35">
                  <c:v>0.7748639048948287</c:v>
                </c:pt>
                <c:pt idx="36">
                  <c:v>2.1062984722044304</c:v>
                </c:pt>
                <c:pt idx="37">
                  <c:v>5.7255128623043534</c:v>
                </c:pt>
                <c:pt idx="38">
                  <c:v>15.563557572210462</c:v>
                </c:pt>
                <c:pt idx="39">
                  <c:v>42.306135734715866</c:v>
                </c:pt>
                <c:pt idx="40">
                  <c:v>115</c:v>
                </c:pt>
                <c:pt idx="41">
                  <c:v>187.69386426528413</c:v>
                </c:pt>
                <c:pt idx="42">
                  <c:v>214.43644242778953</c:v>
                </c:pt>
                <c:pt idx="43">
                  <c:v>224.27448713769564</c:v>
                </c:pt>
                <c:pt idx="44">
                  <c:v>227.89370152779557</c:v>
                </c:pt>
                <c:pt idx="45">
                  <c:v>229.22513609510517</c:v>
                </c:pt>
                <c:pt idx="46">
                  <c:v>229.71494349968336</c:v>
                </c:pt>
                <c:pt idx="47">
                  <c:v>229.89513357396123</c:v>
                </c:pt>
                <c:pt idx="48">
                  <c:v>229.96142179779122</c:v>
                </c:pt>
                <c:pt idx="49">
                  <c:v>229.98580787253005</c:v>
                </c:pt>
                <c:pt idx="50">
                  <c:v>229.9947790080773</c:v>
                </c:pt>
                <c:pt idx="51">
                  <c:v>229.99807930440912</c:v>
                </c:pt>
                <c:pt idx="52">
                  <c:v>229.99929341557936</c:v>
                </c:pt>
                <c:pt idx="53">
                  <c:v>229.99974006211821</c:v>
                </c:pt>
                <c:pt idx="54">
                  <c:v>229.99990437419731</c:v>
                </c:pt>
                <c:pt idx="55">
                  <c:v>229.99996482123314</c:v>
                </c:pt>
                <c:pt idx="56">
                  <c:v>229.99998705845491</c:v>
                </c:pt>
                <c:pt idx="57">
                  <c:v>229.99999523907164</c:v>
                </c:pt>
                <c:pt idx="58">
                  <c:v>229.99999824855232</c:v>
                </c:pt>
                <c:pt idx="59">
                  <c:v>229.9999993556784</c:v>
                </c:pt>
                <c:pt idx="60">
                  <c:v>229.99999976296732</c:v>
                </c:pt>
                <c:pt idx="61">
                  <c:v>229.99999991280055</c:v>
                </c:pt>
                <c:pt idx="62">
                  <c:v>229.99999996792113</c:v>
                </c:pt>
                <c:pt idx="63">
                  <c:v>229.99999998819885</c:v>
                </c:pt>
                <c:pt idx="64">
                  <c:v>229.99999999565858</c:v>
                </c:pt>
                <c:pt idx="65">
                  <c:v>229.9999999984029</c:v>
                </c:pt>
                <c:pt idx="66">
                  <c:v>229.99999999941247</c:v>
                </c:pt>
                <c:pt idx="67">
                  <c:v>229.99999999978385</c:v>
                </c:pt>
                <c:pt idx="68">
                  <c:v>229.99999999992048</c:v>
                </c:pt>
                <c:pt idx="69">
                  <c:v>229.99999999997075</c:v>
                </c:pt>
                <c:pt idx="70">
                  <c:v>229.99999999998923</c:v>
                </c:pt>
                <c:pt idx="71">
                  <c:v>229.99999999999605</c:v>
                </c:pt>
                <c:pt idx="72">
                  <c:v>229.99999999999855</c:v>
                </c:pt>
                <c:pt idx="73">
                  <c:v>229.99999999999946</c:v>
                </c:pt>
                <c:pt idx="74">
                  <c:v>229.9999999999998</c:v>
                </c:pt>
                <c:pt idx="75">
                  <c:v>229.99999999999991</c:v>
                </c:pt>
                <c:pt idx="76">
                  <c:v>229.99999999999997</c:v>
                </c:pt>
                <c:pt idx="77">
                  <c:v>230</c:v>
                </c:pt>
                <c:pt idx="78">
                  <c:v>230</c:v>
                </c:pt>
                <c:pt idx="79">
                  <c:v>230</c:v>
                </c:pt>
                <c:pt idx="80">
                  <c:v>230</c:v>
                </c:pt>
                <c:pt idx="81">
                  <c:v>230</c:v>
                </c:pt>
                <c:pt idx="82">
                  <c:v>230</c:v>
                </c:pt>
                <c:pt idx="83">
                  <c:v>230</c:v>
                </c:pt>
                <c:pt idx="84">
                  <c:v>230</c:v>
                </c:pt>
                <c:pt idx="85">
                  <c:v>230</c:v>
                </c:pt>
                <c:pt idx="86">
                  <c:v>230</c:v>
                </c:pt>
                <c:pt idx="87">
                  <c:v>230</c:v>
                </c:pt>
                <c:pt idx="88">
                  <c:v>230</c:v>
                </c:pt>
                <c:pt idx="89">
                  <c:v>230</c:v>
                </c:pt>
                <c:pt idx="90">
                  <c:v>230</c:v>
                </c:pt>
                <c:pt idx="91">
                  <c:v>230</c:v>
                </c:pt>
                <c:pt idx="92">
                  <c:v>230</c:v>
                </c:pt>
                <c:pt idx="93">
                  <c:v>230</c:v>
                </c:pt>
                <c:pt idx="94">
                  <c:v>230</c:v>
                </c:pt>
                <c:pt idx="95">
                  <c:v>230</c:v>
                </c:pt>
                <c:pt idx="96">
                  <c:v>230</c:v>
                </c:pt>
                <c:pt idx="97">
                  <c:v>230</c:v>
                </c:pt>
                <c:pt idx="98">
                  <c:v>230</c:v>
                </c:pt>
                <c:pt idx="99">
                  <c:v>230</c:v>
                </c:pt>
                <c:pt idx="100">
                  <c:v>230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65-4CD1-8BC5-10CDCA7FE947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KHT!$D$4:$D$35</c:f>
              <c:numCache>
                <c:formatCode>General</c:formatCode>
                <c:ptCount val="32"/>
                <c:pt idx="0">
                  <c:v>-196</c:v>
                </c:pt>
                <c:pt idx="1">
                  <c:v>-175</c:v>
                </c:pt>
                <c:pt idx="2">
                  <c:v>-150</c:v>
                </c:pt>
                <c:pt idx="3">
                  <c:v>-125</c:v>
                </c:pt>
                <c:pt idx="4">
                  <c:v>-100</c:v>
                </c:pt>
                <c:pt idx="5">
                  <c:v>-75</c:v>
                </c:pt>
                <c:pt idx="6">
                  <c:v>-50</c:v>
                </c:pt>
                <c:pt idx="7">
                  <c:v>-25</c:v>
                </c:pt>
                <c:pt idx="8">
                  <c:v>-5</c:v>
                </c:pt>
                <c:pt idx="9">
                  <c:v>0</c:v>
                </c:pt>
                <c:pt idx="10">
                  <c:v>5</c:v>
                </c:pt>
                <c:pt idx="11">
                  <c:v>25</c:v>
                </c:pt>
                <c:pt idx="12">
                  <c:v>50</c:v>
                </c:pt>
                <c:pt idx="13">
                  <c:v>75</c:v>
                </c:pt>
                <c:pt idx="14">
                  <c:v>100</c:v>
                </c:pt>
                <c:pt idx="15">
                  <c:v>125</c:v>
                </c:pt>
                <c:pt idx="16">
                  <c:v>150</c:v>
                </c:pt>
                <c:pt idx="17">
                  <c:v>175</c:v>
                </c:pt>
                <c:pt idx="18">
                  <c:v>200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KHT!$E$4:$E$35</c:f>
              <c:numCache>
                <c:formatCode>General</c:formatCode>
                <c:ptCount val="32"/>
                <c:pt idx="0">
                  <c:v>9.0508249055091028E-2</c:v>
                </c:pt>
                <c:pt idx="1">
                  <c:v>0.20954177471215019</c:v>
                </c:pt>
                <c:pt idx="2">
                  <c:v>0.56870332602598239</c:v>
                </c:pt>
                <c:pt idx="3">
                  <c:v>1.539355712585504</c:v>
                </c:pt>
                <c:pt idx="4">
                  <c:v>4.1368282912810486</c:v>
                </c:pt>
                <c:pt idx="5">
                  <c:v>10.907950830840363</c:v>
                </c:pt>
                <c:pt idx="6">
                  <c:v>27.416672065087042</c:v>
                </c:pt>
                <c:pt idx="7">
                  <c:v>61.856526915098875</c:v>
                </c:pt>
                <c:pt idx="8">
                  <c:v>103.53818061813008</c:v>
                </c:pt>
                <c:pt idx="9">
                  <c:v>115</c:v>
                </c:pt>
                <c:pt idx="10">
                  <c:v>126.46181938186992</c:v>
                </c:pt>
                <c:pt idx="11">
                  <c:v>168.14347308490113</c:v>
                </c:pt>
                <c:pt idx="12">
                  <c:v>202.58332793491297</c:v>
                </c:pt>
                <c:pt idx="13">
                  <c:v>219.09204916915962</c:v>
                </c:pt>
                <c:pt idx="14">
                  <c:v>225.86317170871894</c:v>
                </c:pt>
                <c:pt idx="15">
                  <c:v>228.46064428741448</c:v>
                </c:pt>
                <c:pt idx="16">
                  <c:v>229.43129667397403</c:v>
                </c:pt>
                <c:pt idx="17">
                  <c:v>229.79045822528786</c:v>
                </c:pt>
                <c:pt idx="18">
                  <c:v>229.92286946999269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65-4CD1-8BC5-10CDCA7FE947}"/>
            </c:ext>
          </c:extLst>
        </c:ser>
        <c:ser>
          <c:idx val="2"/>
          <c:order val="2"/>
          <c:tx>
            <c:v>DBTT</c:v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KHT!$G$39:$G$40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KHT!$H$39:$H$40</c:f>
              <c:numCache>
                <c:formatCode>General</c:formatCode>
                <c:ptCount val="2"/>
                <c:pt idx="0">
                  <c:v>0</c:v>
                </c:pt>
                <c:pt idx="1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65-4CD1-8BC5-10CDCA7FE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327224"/>
        <c:axId val="1073325256"/>
      </c:scatterChart>
      <c:valAx>
        <c:axId val="1073327224"/>
        <c:scaling>
          <c:orientation val="minMax"/>
          <c:max val="200"/>
          <c:min val="-2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Temperature (°C)</a:t>
                </a:r>
              </a:p>
            </c:rich>
          </c:tx>
          <c:layout>
            <c:manualLayout>
              <c:xMode val="edge"/>
              <c:yMode val="edge"/>
              <c:x val="0.43964527838275536"/>
              <c:y val="0.921566558134511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325256"/>
        <c:crosses val="autoZero"/>
        <c:crossBetween val="midCat"/>
      </c:valAx>
      <c:valAx>
        <c:axId val="107332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  <a:sym typeface="Symbol" panose="05050102010706020507" pitchFamily="18" charset="2"/>
                  </a:rPr>
                  <a:t>Y (T)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583924349881798"/>
              <c:y val="0.358657938089572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32722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6.3214906647307334E-2"/>
          <c:y val="8.6099787759120611E-2"/>
          <c:w val="0.12041622456767372"/>
          <c:h val="7.027780236768412E-2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600075</xdr:colOff>
      <xdr:row>5</xdr:row>
      <xdr:rowOff>180975</xdr:rowOff>
    </xdr:from>
    <xdr:to>
      <xdr:col>20</xdr:col>
      <xdr:colOff>0</xdr:colOff>
      <xdr:row>25</xdr:row>
      <xdr:rowOff>76199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40</xdr:row>
          <xdr:rowOff>180975</xdr:rowOff>
        </xdr:from>
        <xdr:to>
          <xdr:col>5</xdr:col>
          <xdr:colOff>0</xdr:colOff>
          <xdr:row>41</xdr:row>
          <xdr:rowOff>219075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 + 5 °C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40</xdr:row>
          <xdr:rowOff>180975</xdr:rowOff>
        </xdr:from>
        <xdr:to>
          <xdr:col>6</xdr:col>
          <xdr:colOff>9525</xdr:colOff>
          <xdr:row>41</xdr:row>
          <xdr:rowOff>219075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 - 5 °C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+ 5 °C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41</xdr:row>
          <xdr:rowOff>219075</xdr:rowOff>
        </xdr:from>
        <xdr:to>
          <xdr:col>6</xdr:col>
          <xdr:colOff>9525</xdr:colOff>
          <xdr:row>42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 /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41</xdr:row>
          <xdr:rowOff>219075</xdr:rowOff>
        </xdr:from>
        <xdr:to>
          <xdr:col>5</xdr:col>
          <xdr:colOff>0</xdr:colOff>
          <xdr:row>42</xdr:row>
          <xdr:rowOff>190500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41</xdr:row>
          <xdr:rowOff>123825</xdr:rowOff>
        </xdr:from>
        <xdr:to>
          <xdr:col>7</xdr:col>
          <xdr:colOff>257175</xdr:colOff>
          <xdr:row>43</xdr:row>
          <xdr:rowOff>66675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304801</xdr:colOff>
      <xdr:row>0</xdr:row>
      <xdr:rowOff>180975</xdr:rowOff>
    </xdr:from>
    <xdr:to>
      <xdr:col>19</xdr:col>
      <xdr:colOff>228601</xdr:colOff>
      <xdr:row>4</xdr:row>
      <xdr:rowOff>159409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3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5791201" y="180975"/>
              <a:ext cx="6019800" cy="816634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txBody>
            <a:bodyPr wrap="square" lIns="0" tIns="0" rIns="0" bIns="0" rtlCol="0">
              <a:spAutoFit/>
            </a:bodyPr>
            <a:lstStyle>
              <a:defPPr>
                <a:defRPr lang="en-GB"/>
              </a:defPPr>
              <a:lvl1pPr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1pPr>
              <a:lvl2pPr marL="4572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2pPr>
              <a:lvl3pPr marL="9144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3pPr>
              <a:lvl4pPr marL="13716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4pPr>
              <a:lvl5pPr marL="18288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b="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𝐾𝑉</m:t>
                    </m:r>
                    <m:r>
                      <a:rPr lang="en-US" sz="2800" b="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𝐿𝑆</m:t>
                        </m:r>
                        <m: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𝑈𝑆</m:t>
                        </m:r>
                      </m:num>
                      <m:den>
                        <m: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sz="2800" b="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𝑈𝑆</m:t>
                        </m:r>
                        <m: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𝐿𝑆</m:t>
                        </m:r>
                      </m:num>
                      <m:den>
                        <m: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func>
                      <m:funcPr>
                        <m:ctrlP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2800" b="0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tanh</m:t>
                        </m:r>
                      </m:fName>
                      <m:e>
                        <m:f>
                          <m:fPr>
                            <m:ctrlPr>
                              <a:rPr lang="en-US" sz="2800" b="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2800" b="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  <m:r>
                              <a:rPr lang="en-US" sz="2800" b="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2800" b="0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2800" b="0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2800" b="0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2800" b="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𝐶</m:t>
                            </m:r>
                            <m:r>
                              <a:rPr lang="en-US" sz="2800" b="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en-US" sz="2800" b="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𝐷𝑇</m:t>
                            </m:r>
                          </m:den>
                        </m:f>
                      </m:e>
                    </m:func>
                  </m:oMath>
                </m:oMathPara>
              </a14:m>
              <a:endParaRPr lang="en-US" sz="280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5" name="TextBox 13">
              <a:extLst>
                <a:ext uri="{FF2B5EF4-FFF2-40B4-BE49-F238E27FC236}">
                  <a16:creationId xmlns:a16="http://schemas.microsoft.com/office/drawing/2014/main" id="{BA15EB7F-4FCC-4469-ACEE-550354B8FBEF}"/>
                </a:ext>
              </a:extLst>
            </xdr:cNvPr>
            <xdr:cNvSpPr txBox="1"/>
          </xdr:nvSpPr>
          <xdr:spPr>
            <a:xfrm>
              <a:off x="5791201" y="180975"/>
              <a:ext cx="6019800" cy="816634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txBody>
            <a:bodyPr wrap="square" lIns="0" tIns="0" rIns="0" bIns="0" rtlCol="0">
              <a:spAutoFit/>
            </a:bodyPr>
            <a:lstStyle>
              <a:defPPr>
                <a:defRPr lang="en-GB"/>
              </a:defPPr>
              <a:lvl1pPr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1pPr>
              <a:lvl2pPr marL="4572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2pPr>
              <a:lvl3pPr marL="9144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3pPr>
              <a:lvl4pPr marL="13716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4pPr>
              <a:lvl5pPr marL="18288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9pPr>
            </a:lstStyle>
            <a:p>
              <a:pPr/>
              <a:r>
                <a:rPr lang="en-US" sz="28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𝐾𝑉=(𝐿𝑆+𝑈𝑆)/2+(𝑈𝑆−𝐿𝑆)/2  tanh⁡〖(𝑇−𝑇_0)/(𝐶+𝐷𝑇)〗</a:t>
              </a:r>
              <a:endParaRPr lang="en-US" sz="280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43</xdr:row>
          <xdr:rowOff>0</xdr:rowOff>
        </xdr:from>
        <xdr:to>
          <xdr:col>6</xdr:col>
          <xdr:colOff>9525</xdr:colOff>
          <xdr:row>44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- 5 °C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0</xdr:row>
      <xdr:rowOff>123830</xdr:rowOff>
    </xdr:from>
    <xdr:to>
      <xdr:col>18</xdr:col>
      <xdr:colOff>266700</xdr:colOff>
      <xdr:row>3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2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>
              <a:spLocks noChangeAspect="1"/>
            </xdr:cNvSpPr>
          </xdr:nvSpPr>
          <xdr:spPr>
            <a:xfrm>
              <a:off x="5391150" y="123830"/>
              <a:ext cx="5848350" cy="476245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b="0" i="1">
                        <a:latin typeface="Cambria Math" panose="02040503050406030204" pitchFamily="18" charset="0"/>
                      </a:rPr>
                      <m:t>𝐾𝑉</m:t>
                    </m:r>
                    <m:r>
                      <a:rPr lang="en-US" sz="2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800" b="0" i="1">
                        <a:latin typeface="Cambria Math" panose="02040503050406030204" pitchFamily="18" charset="0"/>
                      </a:rPr>
                      <m:t>𝐿𝑆𝐸</m:t>
                    </m:r>
                    <m:r>
                      <a:rPr lang="en-US" sz="28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US" sz="2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𝑈𝑆𝐸</m:t>
                        </m:r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𝐿𝑆𝐸</m:t>
                        </m:r>
                      </m:e>
                    </m:d>
                    <m:r>
                      <a:rPr lang="en-US" sz="2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2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𝜉</m:t>
                    </m:r>
                    <m:d>
                      <m:dPr>
                        <m:ctrlPr>
                          <a:rPr lang="en-US" sz="2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2800"/>
            </a:p>
          </xdr:txBody>
        </xdr:sp>
      </mc:Choice>
      <mc:Fallback xmlns="">
        <xdr:sp macro="" textlink="">
          <xdr:nvSpPr>
            <xdr:cNvPr id="2" name="TextBox 2">
              <a:extLst>
                <a:ext uri="{FF2B5EF4-FFF2-40B4-BE49-F238E27FC236}">
                  <a16:creationId xmlns:a16="http://schemas.microsoft.com/office/drawing/2014/main" id="{B45AA5FF-22CA-438A-9DCF-65C571E65552}"/>
                </a:ext>
              </a:extLst>
            </xdr:cNvPr>
            <xdr:cNvSpPr txBox="1">
              <a:spLocks noChangeAspect="1"/>
            </xdr:cNvSpPr>
          </xdr:nvSpPr>
          <xdr:spPr>
            <a:xfrm>
              <a:off x="5391150" y="123830"/>
              <a:ext cx="5848350" cy="476245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2800" b="0" i="0">
                  <a:latin typeface="Cambria Math" panose="02040503050406030204" pitchFamily="18" charset="0"/>
                </a:rPr>
                <a:t>𝐾𝑉=𝐿𝑆𝐸+(𝑈𝑆𝐸−𝐿𝑆𝐸)</a:t>
              </a:r>
              <a:r>
                <a:rPr lang="en-US" sz="2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∙𝜉(𝑇_𝑖 )</a:t>
              </a:r>
              <a:endParaRPr lang="en-US" sz="2800"/>
            </a:p>
          </xdr:txBody>
        </xdr:sp>
      </mc:Fallback>
    </mc:AlternateContent>
    <xdr:clientData/>
  </xdr:twoCellAnchor>
  <xdr:twoCellAnchor>
    <xdr:from>
      <xdr:col>8</xdr:col>
      <xdr:colOff>314330</xdr:colOff>
      <xdr:row>3</xdr:row>
      <xdr:rowOff>19060</xdr:rowOff>
    </xdr:from>
    <xdr:to>
      <xdr:col>18</xdr:col>
      <xdr:colOff>400049</xdr:colOff>
      <xdr:row>5</xdr:row>
      <xdr:rowOff>182568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4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>
              <a:spLocks noChangeAspect="1"/>
            </xdr:cNvSpPr>
          </xdr:nvSpPr>
          <xdr:spPr>
            <a:xfrm>
              <a:off x="5191130" y="590560"/>
              <a:ext cx="6181719" cy="544508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𝜉</m:t>
                    </m:r>
                    <m:d>
                      <m:dPr>
                        <m:ctrlPr>
                          <a:rPr lang="en-US" sz="2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d>
                    <m:r>
                      <a:rPr lang="en-US" sz="28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2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n-US" sz="2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28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sSup>
                              <m:sSupPr>
                                <m:ctrlPr>
                                  <a:rPr lang="en-US" sz="2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28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sz="2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n-US" sz="28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  <m:d>
                                  <m:dPr>
                                    <m:ctrlPr>
                                      <a:rPr lang="en-US" sz="2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2800" b="0" i="1">
                                        <a:latin typeface="Cambria Math" panose="02040503050406030204" pitchFamily="18" charset="0"/>
                                      </a:rPr>
                                      <m:t>𝑇</m:t>
                                    </m:r>
                                    <m:r>
                                      <a:rPr lang="en-US" sz="2800" b="0" i="1">
                                        <a:latin typeface="Cambria Math" panose="02040503050406030204" pitchFamily="18" charset="0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n-US" sz="2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2800" b="0" i="1">
                                            <a:latin typeface="Cambria Math" panose="02040503050406030204" pitchFamily="18" charset="0"/>
                                          </a:rPr>
                                          <m:t>𝑇</m:t>
                                        </m:r>
                                      </m:e>
                                      <m:sub>
                                        <m:r>
                                          <a:rPr lang="en-US" sz="2800" b="0" i="1">
                                            <a:latin typeface="Cambria Math" panose="02040503050406030204" pitchFamily="18" charset="0"/>
                                          </a:rPr>
                                          <m:t>0</m:t>
                                        </m:r>
                                      </m:sub>
                                    </m:sSub>
                                  </m:e>
                                </m:d>
                              </m:sup>
                            </m:sSup>
                          </m:e>
                        </m:d>
                      </m:e>
                      <m:sup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𝑚</m:t>
                        </m:r>
                      </m:sup>
                    </m:sSup>
                  </m:oMath>
                </m:oMathPara>
              </a14:m>
              <a:endParaRPr lang="en-US" sz="4000"/>
            </a:p>
          </xdr:txBody>
        </xdr:sp>
      </mc:Choice>
      <mc:Fallback xmlns="">
        <xdr:sp macro="" textlink="">
          <xdr:nvSpPr>
            <xdr:cNvPr id="3" name="TextBox 4">
              <a:extLst>
                <a:ext uri="{FF2B5EF4-FFF2-40B4-BE49-F238E27FC236}">
                  <a16:creationId xmlns:a16="http://schemas.microsoft.com/office/drawing/2014/main" id="{472DA46B-A557-451B-A093-119DBA17C657}"/>
                </a:ext>
              </a:extLst>
            </xdr:cNvPr>
            <xdr:cNvSpPr txBox="1">
              <a:spLocks noChangeAspect="1"/>
            </xdr:cNvSpPr>
          </xdr:nvSpPr>
          <xdr:spPr>
            <a:xfrm>
              <a:off x="5191130" y="590560"/>
              <a:ext cx="6181719" cy="544508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2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𝜉(𝑇_𝑖 )</a:t>
              </a:r>
              <a:r>
                <a:rPr lang="en-US" sz="2800" b="0" i="0">
                  <a:latin typeface="Cambria Math" panose="02040503050406030204" pitchFamily="18" charset="0"/>
                </a:rPr>
                <a:t>=[1+𝑒^(−𝑘(𝑇−𝑇_0 ) ) ]^(−𝑚)</a:t>
              </a:r>
              <a:endParaRPr lang="en-US" sz="4000"/>
            </a:p>
          </xdr:txBody>
        </xdr:sp>
      </mc:Fallback>
    </mc:AlternateContent>
    <xdr:clientData/>
  </xdr:twoCellAnchor>
  <xdr:twoCellAnchor>
    <xdr:from>
      <xdr:col>7</xdr:col>
      <xdr:colOff>600075</xdr:colOff>
      <xdr:row>6</xdr:row>
      <xdr:rowOff>0</xdr:rowOff>
    </xdr:from>
    <xdr:to>
      <xdr:col>19</xdr:col>
      <xdr:colOff>0</xdr:colOff>
      <xdr:row>25</xdr:row>
      <xdr:rowOff>85724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40</xdr:row>
          <xdr:rowOff>180975</xdr:rowOff>
        </xdr:from>
        <xdr:to>
          <xdr:col>5</xdr:col>
          <xdr:colOff>0</xdr:colOff>
          <xdr:row>41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40</xdr:row>
          <xdr:rowOff>180975</xdr:rowOff>
        </xdr:from>
        <xdr:to>
          <xdr:col>6</xdr:col>
          <xdr:colOff>9525</xdr:colOff>
          <xdr:row>41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 /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42</xdr:row>
          <xdr:rowOff>9525</xdr:rowOff>
        </xdr:from>
        <xdr:to>
          <xdr:col>5</xdr:col>
          <xdr:colOff>0</xdr:colOff>
          <xdr:row>42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+ 5 °C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42</xdr:row>
          <xdr:rowOff>9525</xdr:rowOff>
        </xdr:from>
        <xdr:to>
          <xdr:col>6</xdr:col>
          <xdr:colOff>9525</xdr:colOff>
          <xdr:row>42</xdr:row>
          <xdr:rowOff>209550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- 5 °C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42</xdr:row>
          <xdr:rowOff>219075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42</xdr:row>
          <xdr:rowOff>219075</xdr:rowOff>
        </xdr:from>
        <xdr:to>
          <xdr:col>6</xdr:col>
          <xdr:colOff>9525</xdr:colOff>
          <xdr:row>44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 /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42</xdr:row>
          <xdr:rowOff>180975</xdr:rowOff>
        </xdr:from>
        <xdr:to>
          <xdr:col>5</xdr:col>
          <xdr:colOff>0</xdr:colOff>
          <xdr:row>43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41</xdr:row>
          <xdr:rowOff>123825</xdr:rowOff>
        </xdr:from>
        <xdr:to>
          <xdr:col>7</xdr:col>
          <xdr:colOff>257175</xdr:colOff>
          <xdr:row>43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42</xdr:row>
          <xdr:rowOff>219075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42</xdr:row>
          <xdr:rowOff>180975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40</xdr:row>
          <xdr:rowOff>219075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40</xdr:row>
          <xdr:rowOff>180975</xdr:rowOff>
        </xdr:from>
        <xdr:to>
          <xdr:col>5</xdr:col>
          <xdr:colOff>0</xdr:colOff>
          <xdr:row>41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40</xdr:row>
          <xdr:rowOff>219075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40</xdr:row>
          <xdr:rowOff>180975</xdr:rowOff>
        </xdr:from>
        <xdr:to>
          <xdr:col>5</xdr:col>
          <xdr:colOff>0</xdr:colOff>
          <xdr:row>41</xdr:row>
          <xdr:rowOff>190500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 ×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19049</xdr:colOff>
      <xdr:row>3</xdr:row>
      <xdr:rowOff>76200</xdr:rowOff>
    </xdr:from>
    <xdr:to>
      <xdr:col>18</xdr:col>
      <xdr:colOff>342900</xdr:colOff>
      <xdr:row>6</xdr:row>
      <xdr:rowOff>182643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3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5505449" y="723900"/>
              <a:ext cx="5810251" cy="677943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14:m>
                <m:oMath xmlns:m="http://schemas.openxmlformats.org/officeDocument/2006/math">
                  <m:r>
                    <a:rPr lang="en-US" sz="2400" b="0" i="1">
                      <a:latin typeface="Cambria Math" panose="02040503050406030204" pitchFamily="18" charset="0"/>
                    </a:rPr>
                    <m:t>𝑌</m:t>
                  </m:r>
                  <m:r>
                    <a:rPr lang="en-US" sz="2400" b="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2400" b="0" i="1">
                      <a:latin typeface="Cambria Math" panose="02040503050406030204" pitchFamily="18" charset="0"/>
                    </a:rPr>
                    <m:t>𝑈𝑆</m:t>
                  </m:r>
                  <m:r>
                    <a:rPr lang="en-US" sz="2400" b="0" i="1">
                      <a:latin typeface="Cambria Math" panose="02040503050406030204" pitchFamily="18" charset="0"/>
                    </a:rPr>
                    <m:t>−</m:t>
                  </m:r>
                  <m:r>
                    <a:rPr lang="en-US" sz="2400" b="0" i="1">
                      <a:latin typeface="Cambria Math" panose="02040503050406030204" pitchFamily="18" charset="0"/>
                    </a:rPr>
                    <m:t>𝑝</m:t>
                  </m:r>
                  <m:f>
                    <m:fPr>
                      <m:ctrlPr>
                        <a:rPr lang="en-US" sz="24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400" b="0" i="1">
                          <a:latin typeface="Cambria Math" panose="02040503050406030204" pitchFamily="18" charset="0"/>
                        </a:rPr>
                        <m:t>𝑈𝑆</m:t>
                      </m:r>
                      <m:r>
                        <a:rPr lang="en-US" sz="24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sz="2400" b="0" i="1">
                          <a:latin typeface="Cambria Math" panose="02040503050406030204" pitchFamily="18" charset="0"/>
                        </a:rPr>
                        <m:t>𝐿𝑆</m:t>
                      </m:r>
                    </m:num>
                    <m:den>
                      <m:r>
                        <a:rPr lang="en-US" sz="24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1+</m:t>
                      </m:r>
                      <m:r>
                        <a:rPr lang="en-US" sz="24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𝑝</m:t>
                      </m:r>
                    </m:den>
                  </m:f>
                  <m:sSup>
                    <m:sSupPr>
                      <m:ctrlPr>
                        <a:rPr lang="en-US" sz="24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4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d>
                        <m:dPr>
                          <m:begChr m:val="["/>
                          <m:endChr m:val="]"/>
                          <m:ctrlPr>
                            <a:rPr lang="en-US" sz="24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24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f>
                            <m:fPr>
                              <m:ctrlPr>
                                <a:rPr lang="en-US" sz="24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sz="24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1+</m:t>
                              </m:r>
                              <m:r>
                                <a:rPr lang="en-US" sz="24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𝑝</m:t>
                              </m:r>
                            </m:num>
                            <m:den>
                              <m:r>
                                <a:rPr lang="en-US" sz="24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𝑝</m:t>
                              </m:r>
                              <m:r>
                                <a:rPr lang="en-US" sz="24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  <m:r>
                                <a:rPr lang="en-US" sz="2400" b="0" i="1">
                                  <a:latin typeface="Cambria Math" panose="02040503050406030204" pitchFamily="18" charset="0"/>
                                </a:rPr>
                                <m:t>𝐶</m:t>
                              </m:r>
                            </m:den>
                          </m:f>
                          <m:d>
                            <m:dPr>
                              <m:ctrlPr>
                                <a:rPr lang="en-US" sz="24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24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  <m:r>
                                <a:rPr lang="en-US" sz="24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24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2400" b="0" i="1">
                                      <a:latin typeface="Cambria Math" panose="02040503050406030204" pitchFamily="18" charset="0"/>
                                    </a:rPr>
                                    <m:t>𝑇</m:t>
                                  </m:r>
                                </m:e>
                                <m:sub>
                                  <m:r>
                                    <a:rPr lang="en-US" sz="2400" b="0" i="1">
                                      <a:latin typeface="Cambria Math" panose="02040503050406030204" pitchFamily="18" charset="0"/>
                                    </a:rPr>
                                    <m:t>0</m:t>
                                  </m:r>
                                </m:sub>
                              </m:sSub>
                            </m:e>
                          </m:d>
                        </m:e>
                      </m:d>
                    </m:sup>
                  </m:sSup>
                </m:oMath>
              </a14:m>
              <a:r>
                <a:rPr lang="en-US" sz="2400"/>
                <a:t>      for </a:t>
              </a:r>
              <a:r>
                <a:rPr lang="en-US" sz="2400" i="1"/>
                <a:t>T</a:t>
              </a:r>
              <a:r>
                <a:rPr lang="en-US" sz="2400"/>
                <a:t> </a:t>
              </a:r>
              <a:r>
                <a:rPr lang="en-US" sz="2400">
                  <a:sym typeface="Symbol" panose="05050102010706020507" pitchFamily="18" charset="2"/>
                </a:rPr>
                <a:t></a:t>
              </a:r>
              <a:r>
                <a:rPr lang="en-US" sz="2400"/>
                <a:t> </a:t>
              </a:r>
              <a:r>
                <a:rPr lang="en-US" sz="2400" i="1"/>
                <a:t>T</a:t>
              </a:r>
              <a:r>
                <a:rPr lang="en-US" sz="2400" i="1" baseline="-25000"/>
                <a:t>0</a:t>
              </a:r>
              <a:endParaRPr lang="en-US" sz="2400"/>
            </a:p>
          </xdr:txBody>
        </xdr:sp>
      </mc:Choice>
      <mc:Fallback xmlns="">
        <xdr:sp macro="" textlink="">
          <xdr:nvSpPr>
            <xdr:cNvPr id="16" name="TextBox 3">
              <a:extLst>
                <a:ext uri="{FF2B5EF4-FFF2-40B4-BE49-F238E27FC236}">
                  <a16:creationId xmlns:a16="http://schemas.microsoft.com/office/drawing/2014/main" id="{BE4525B1-1F80-47EE-87C9-A55D4D830585}"/>
                </a:ext>
              </a:extLst>
            </xdr:cNvPr>
            <xdr:cNvSpPr txBox="1"/>
          </xdr:nvSpPr>
          <xdr:spPr>
            <a:xfrm>
              <a:off x="5505449" y="723900"/>
              <a:ext cx="5810251" cy="677943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2400" b="0" i="0">
                  <a:latin typeface="Cambria Math" panose="02040503050406030204" pitchFamily="18" charset="0"/>
                </a:rPr>
                <a:t>𝑌=𝑈𝑆−𝑝 (𝑈𝑆−𝐿𝑆)/(</a:t>
              </a:r>
              <a:r>
                <a:rPr lang="en-US" sz="2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1+𝑝) </a:t>
              </a:r>
              <a:r>
                <a:rPr lang="en-US" sz="2400" b="0" i="0">
                  <a:latin typeface="Cambria Math" panose="02040503050406030204" pitchFamily="18" charset="0"/>
                </a:rPr>
                <a:t>𝑒^[−(</a:t>
              </a:r>
              <a:r>
                <a:rPr lang="en-US" sz="2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1+𝑝)/𝑝</a:t>
              </a:r>
              <a:r>
                <a:rPr lang="en-US" sz="2400" b="0" i="0">
                  <a:latin typeface="Cambria Math" panose="02040503050406030204" pitchFamily="18" charset="0"/>
                </a:rPr>
                <a:t>2𝐶 (𝑇−𝑇_0 )] </a:t>
              </a:r>
              <a:r>
                <a:rPr lang="en-US" sz="2400"/>
                <a:t>      for </a:t>
              </a:r>
              <a:r>
                <a:rPr lang="en-US" sz="2400" i="1"/>
                <a:t>T</a:t>
              </a:r>
              <a:r>
                <a:rPr lang="en-US" sz="2400"/>
                <a:t> </a:t>
              </a:r>
              <a:r>
                <a:rPr lang="en-US" sz="2400">
                  <a:sym typeface="Symbol" panose="05050102010706020507" pitchFamily="18" charset="2"/>
                </a:rPr>
                <a:t></a:t>
              </a:r>
              <a:r>
                <a:rPr lang="en-US" sz="2400"/>
                <a:t> </a:t>
              </a:r>
              <a:r>
                <a:rPr lang="en-US" sz="2400" i="1"/>
                <a:t>T</a:t>
              </a:r>
              <a:r>
                <a:rPr lang="en-US" sz="2400" i="1" baseline="-25000"/>
                <a:t>0</a:t>
              </a:r>
              <a:endParaRPr lang="en-US" sz="2400"/>
            </a:p>
          </xdr:txBody>
        </xdr:sp>
      </mc:Fallback>
    </mc:AlternateContent>
    <xdr:clientData/>
  </xdr:twoCellAnchor>
  <xdr:twoCellAnchor>
    <xdr:from>
      <xdr:col>8</xdr:col>
      <xdr:colOff>0</xdr:colOff>
      <xdr:row>8</xdr:row>
      <xdr:rowOff>0</xdr:rowOff>
    </xdr:from>
    <xdr:to>
      <xdr:col>19</xdr:col>
      <xdr:colOff>9525</xdr:colOff>
      <xdr:row>27</xdr:row>
      <xdr:rowOff>85724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40</xdr:row>
          <xdr:rowOff>180975</xdr:rowOff>
        </xdr:from>
        <xdr:to>
          <xdr:col>5</xdr:col>
          <xdr:colOff>0</xdr:colOff>
          <xdr:row>41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 + 5 °C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40</xdr:row>
          <xdr:rowOff>180975</xdr:rowOff>
        </xdr:from>
        <xdr:to>
          <xdr:col>6</xdr:col>
          <xdr:colOff>9525</xdr:colOff>
          <xdr:row>41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 - 5 °C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42</xdr:row>
          <xdr:rowOff>9525</xdr:rowOff>
        </xdr:from>
        <xdr:to>
          <xdr:col>5</xdr:col>
          <xdr:colOff>0</xdr:colOff>
          <xdr:row>42</xdr:row>
          <xdr:rowOff>209550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+ 5 °C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42</xdr:row>
          <xdr:rowOff>9525</xdr:rowOff>
        </xdr:from>
        <xdr:to>
          <xdr:col>6</xdr:col>
          <xdr:colOff>9525</xdr:colOff>
          <xdr:row>42</xdr:row>
          <xdr:rowOff>209550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- 5 °C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42</xdr:row>
          <xdr:rowOff>219075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42</xdr:row>
          <xdr:rowOff>219075</xdr:rowOff>
        </xdr:from>
        <xdr:to>
          <xdr:col>6</xdr:col>
          <xdr:colOff>9525</xdr:colOff>
          <xdr:row>44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 /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42</xdr:row>
          <xdr:rowOff>180975</xdr:rowOff>
        </xdr:from>
        <xdr:to>
          <xdr:col>5</xdr:col>
          <xdr:colOff>0</xdr:colOff>
          <xdr:row>43</xdr:row>
          <xdr:rowOff>190500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41</xdr:row>
          <xdr:rowOff>123825</xdr:rowOff>
        </xdr:from>
        <xdr:to>
          <xdr:col>7</xdr:col>
          <xdr:colOff>257175</xdr:colOff>
          <xdr:row>43</xdr:row>
          <xdr:rowOff>66675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19050</xdr:colOff>
      <xdr:row>0</xdr:row>
      <xdr:rowOff>76200</xdr:rowOff>
    </xdr:from>
    <xdr:to>
      <xdr:col>18</xdr:col>
      <xdr:colOff>333376</xdr:colOff>
      <xdr:row>3</xdr:row>
      <xdr:rowOff>75472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2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5505450" y="76200"/>
              <a:ext cx="5800726" cy="646972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14:m>
                <m:oMath xmlns:m="http://schemas.openxmlformats.org/officeDocument/2006/math">
                  <m:r>
                    <a:rPr lang="en-US" sz="2400" b="0" i="1">
                      <a:latin typeface="Cambria Math" panose="02040503050406030204" pitchFamily="18" charset="0"/>
                    </a:rPr>
                    <m:t>𝑌</m:t>
                  </m:r>
                  <m:r>
                    <a:rPr lang="en-US" sz="2400" b="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2400" b="0" i="1">
                      <a:latin typeface="Cambria Math" panose="02040503050406030204" pitchFamily="18" charset="0"/>
                    </a:rPr>
                    <m:t>𝐿𝑆</m:t>
                  </m:r>
                  <m:r>
                    <a:rPr lang="en-US" sz="2400" b="0" i="1">
                      <a:latin typeface="Cambria Math" panose="02040503050406030204" pitchFamily="18" charset="0"/>
                    </a:rPr>
                    <m:t>+</m:t>
                  </m:r>
                  <m:f>
                    <m:fPr>
                      <m:ctrlPr>
                        <a:rPr lang="en-US" sz="24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400" b="0" i="1">
                          <a:latin typeface="Cambria Math" panose="02040503050406030204" pitchFamily="18" charset="0"/>
                        </a:rPr>
                        <m:t>𝑈𝑆</m:t>
                      </m:r>
                      <m:r>
                        <a:rPr lang="en-US" sz="24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sz="2400" b="0" i="1">
                          <a:latin typeface="Cambria Math" panose="02040503050406030204" pitchFamily="18" charset="0"/>
                        </a:rPr>
                        <m:t>𝐿𝑆</m:t>
                      </m:r>
                    </m:num>
                    <m:den>
                      <m:r>
                        <a:rPr lang="en-US" sz="24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1+</m:t>
                      </m:r>
                      <m:r>
                        <a:rPr lang="en-US" sz="24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𝑝</m:t>
                      </m:r>
                    </m:den>
                  </m:f>
                  <m:sSup>
                    <m:sSupPr>
                      <m:ctrlPr>
                        <a:rPr lang="en-US" sz="24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4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d>
                        <m:dPr>
                          <m:begChr m:val="["/>
                          <m:endChr m:val="]"/>
                          <m:ctrlPr>
                            <a:rPr lang="en-US" sz="24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sz="24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sz="24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1+</m:t>
                              </m:r>
                              <m:r>
                                <a:rPr lang="en-US" sz="24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𝑝</m:t>
                              </m:r>
                            </m:num>
                            <m:den>
                              <m:r>
                                <a:rPr lang="en-US" sz="24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  <m:r>
                                <a:rPr lang="en-US" sz="2400" b="0" i="1">
                                  <a:latin typeface="Cambria Math" panose="02040503050406030204" pitchFamily="18" charset="0"/>
                                </a:rPr>
                                <m:t>𝐶</m:t>
                              </m:r>
                            </m:den>
                          </m:f>
                          <m:d>
                            <m:dPr>
                              <m:ctrlPr>
                                <a:rPr lang="en-US" sz="24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24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  <m:r>
                                <a:rPr lang="en-US" sz="24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24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2400" b="0" i="1">
                                      <a:latin typeface="Cambria Math" panose="02040503050406030204" pitchFamily="18" charset="0"/>
                                    </a:rPr>
                                    <m:t>𝑇</m:t>
                                  </m:r>
                                </m:e>
                                <m:sub>
                                  <m:r>
                                    <a:rPr lang="en-US" sz="2400" b="0" i="1">
                                      <a:latin typeface="Cambria Math" panose="02040503050406030204" pitchFamily="18" charset="0"/>
                                    </a:rPr>
                                    <m:t>0</m:t>
                                  </m:r>
                                </m:sub>
                              </m:sSub>
                            </m:e>
                          </m:d>
                        </m:e>
                      </m:d>
                    </m:sup>
                  </m:sSup>
                </m:oMath>
              </a14:m>
              <a:r>
                <a:rPr lang="en-US" sz="2400"/>
                <a:t>            for </a:t>
              </a:r>
              <a:r>
                <a:rPr lang="en-US" sz="2400" i="1"/>
                <a:t>T</a:t>
              </a:r>
              <a:r>
                <a:rPr lang="en-US" sz="2400"/>
                <a:t> ≤ </a:t>
              </a:r>
              <a:r>
                <a:rPr lang="en-US" sz="2400" i="1"/>
                <a:t>T</a:t>
              </a:r>
              <a:r>
                <a:rPr lang="en-US" sz="2400" i="1" baseline="-25000"/>
                <a:t>0</a:t>
              </a:r>
              <a:endParaRPr lang="en-US" sz="2400"/>
            </a:p>
          </xdr:txBody>
        </xdr:sp>
      </mc:Choice>
      <mc:Fallback xmlns="">
        <xdr:sp macro="" textlink="">
          <xdr:nvSpPr>
            <xdr:cNvPr id="15" name="TextBox 2">
              <a:extLst>
                <a:ext uri="{FF2B5EF4-FFF2-40B4-BE49-F238E27FC236}">
                  <a16:creationId xmlns:a16="http://schemas.microsoft.com/office/drawing/2014/main" id="{B45AA5FF-22CA-438A-9DCF-65C571E65552}"/>
                </a:ext>
              </a:extLst>
            </xdr:cNvPr>
            <xdr:cNvSpPr txBox="1"/>
          </xdr:nvSpPr>
          <xdr:spPr>
            <a:xfrm>
              <a:off x="5505450" y="76200"/>
              <a:ext cx="5800726" cy="646972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2400" b="0" i="0">
                  <a:latin typeface="Cambria Math" panose="02040503050406030204" pitchFamily="18" charset="0"/>
                </a:rPr>
                <a:t>𝑌=𝐿𝑆+(𝑈𝑆−𝐿𝑆)/(</a:t>
              </a:r>
              <a:r>
                <a:rPr lang="en-US" sz="2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1+𝑝) </a:t>
              </a:r>
              <a:r>
                <a:rPr lang="en-US" sz="2400" b="0" i="0">
                  <a:latin typeface="Cambria Math" panose="02040503050406030204" pitchFamily="18" charset="0"/>
                </a:rPr>
                <a:t>𝑒^[(</a:t>
              </a:r>
              <a:r>
                <a:rPr lang="en-US" sz="2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1+𝑝)/</a:t>
              </a:r>
              <a:r>
                <a:rPr lang="en-US" sz="2400" b="0" i="0">
                  <a:latin typeface="Cambria Math" panose="02040503050406030204" pitchFamily="18" charset="0"/>
                </a:rPr>
                <a:t>2𝐶 (𝑇−𝑇_0 )] </a:t>
              </a:r>
              <a:r>
                <a:rPr lang="en-US" sz="2400"/>
                <a:t>            for </a:t>
              </a:r>
              <a:r>
                <a:rPr lang="en-US" sz="2400" i="1"/>
                <a:t>T</a:t>
              </a:r>
              <a:r>
                <a:rPr lang="en-US" sz="2400"/>
                <a:t> ≤ </a:t>
              </a:r>
              <a:r>
                <a:rPr lang="en-US" sz="2400" i="1"/>
                <a:t>T</a:t>
              </a:r>
              <a:r>
                <a:rPr lang="en-US" sz="2400" i="1" baseline="-25000"/>
                <a:t>0</a:t>
              </a:r>
              <a:endParaRPr lang="en-US" sz="2400"/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17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ctrlProp" Target="../ctrlProps/ctrlProp1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59F96-FFA1-4262-B8DE-0F4238DC639E}">
  <sheetPr codeName="Sheet3"/>
  <dimension ref="A1:X103"/>
  <sheetViews>
    <sheetView topLeftCell="A13" zoomScaleNormal="100" workbookViewId="0">
      <selection activeCell="C44" sqref="C44"/>
    </sheetView>
  </sheetViews>
  <sheetFormatPr defaultRowHeight="15" x14ac:dyDescent="0.25"/>
  <cols>
    <col min="1" max="22" width="9.140625" style="17"/>
    <col min="23" max="23" width="9.140625" style="16"/>
    <col min="24" max="16384" width="9.140625" style="17"/>
  </cols>
  <sheetData>
    <row r="1" spans="1:24" ht="21" x14ac:dyDescent="0.25">
      <c r="A1" s="41" t="s">
        <v>24</v>
      </c>
      <c r="B1" s="41"/>
      <c r="C1" s="41"/>
      <c r="D1" s="41"/>
      <c r="E1" s="41"/>
      <c r="F1" s="41"/>
      <c r="W1" s="16" t="s">
        <v>7</v>
      </c>
      <c r="X1" s="42" t="s">
        <v>15</v>
      </c>
    </row>
    <row r="2" spans="1:24" x14ac:dyDescent="0.25">
      <c r="W2" s="16" t="s">
        <v>8</v>
      </c>
      <c r="X2" s="42"/>
    </row>
    <row r="3" spans="1:24" x14ac:dyDescent="0.25">
      <c r="B3" s="18" t="s">
        <v>13</v>
      </c>
      <c r="D3" s="19" t="s">
        <v>17</v>
      </c>
      <c r="E3" s="19" t="s">
        <v>16</v>
      </c>
      <c r="W3" s="16">
        <v>-200</v>
      </c>
      <c r="X3" s="16">
        <f t="shared" ref="X3:X34" si="0">(LS+US)/2+(US-LS)/2*TANH(($W3-T0_ATANH)/(C_ATANH+D_ATANH*$W3))</f>
        <v>3.7250665893395762E-4</v>
      </c>
    </row>
    <row r="4" spans="1:24" x14ac:dyDescent="0.25">
      <c r="D4" s="33">
        <v>-196</v>
      </c>
      <c r="E4" s="33">
        <v>9.0508249055091028E-2</v>
      </c>
      <c r="F4" s="25">
        <f t="shared" ref="F4:F35" si="1">IF(ISBLANK(Temperatures),"",(LS+US)/2+(US-LS)/2*TANH((Temperatures-T0_ATANH)/(C_ATANH+D_ATANH*Temperatures)))</f>
        <v>5.7758205194602397E-4</v>
      </c>
      <c r="G4" s="25">
        <f t="shared" ref="G4:G35" si="2">IF(ISBLANK(Temperatures),"",Y_values-Fit_ATANH)</f>
        <v>8.9930667003145004E-2</v>
      </c>
      <c r="H4" s="39"/>
      <c r="I4" s="39"/>
      <c r="W4" s="16">
        <f>W3+5</f>
        <v>-195</v>
      </c>
      <c r="X4" s="16">
        <f t="shared" si="0"/>
        <v>6.4335831481798778E-4</v>
      </c>
    </row>
    <row r="5" spans="1:24" x14ac:dyDescent="0.25">
      <c r="D5" s="33">
        <v>-175</v>
      </c>
      <c r="E5" s="33">
        <v>0.20954177471215019</v>
      </c>
      <c r="F5" s="25">
        <f t="shared" si="1"/>
        <v>4.838393682973674E-3</v>
      </c>
      <c r="G5" s="25">
        <f t="shared" si="2"/>
        <v>0.20470338102917651</v>
      </c>
      <c r="H5" s="39"/>
      <c r="I5" s="39"/>
      <c r="W5" s="16">
        <f t="shared" ref="W5:W68" si="3">W4+5</f>
        <v>-190</v>
      </c>
      <c r="X5" s="16">
        <f t="shared" si="0"/>
        <v>1.0917318899004158E-3</v>
      </c>
    </row>
    <row r="6" spans="1:24" x14ac:dyDescent="0.25">
      <c r="D6" s="33">
        <v>-150</v>
      </c>
      <c r="E6" s="33">
        <v>0.56870332602598239</v>
      </c>
      <c r="F6" s="25">
        <f t="shared" si="1"/>
        <v>4.3563367079798354E-2</v>
      </c>
      <c r="G6" s="25">
        <f t="shared" si="2"/>
        <v>0.52513995894618404</v>
      </c>
      <c r="H6" s="39"/>
      <c r="I6" s="39"/>
      <c r="W6" s="16">
        <f t="shared" si="3"/>
        <v>-185</v>
      </c>
      <c r="X6" s="16">
        <f t="shared" si="0"/>
        <v>1.821745160796695E-3</v>
      </c>
    </row>
    <row r="7" spans="1:24" x14ac:dyDescent="0.25">
      <c r="D7" s="33">
        <v>-125</v>
      </c>
      <c r="E7" s="33">
        <v>1.539355712585504</v>
      </c>
      <c r="F7" s="25">
        <f t="shared" si="1"/>
        <v>0.29233374050870964</v>
      </c>
      <c r="G7" s="25">
        <f t="shared" si="2"/>
        <v>1.2470219720767943</v>
      </c>
      <c r="H7" s="39"/>
      <c r="I7" s="39"/>
      <c r="W7" s="16">
        <f t="shared" si="3"/>
        <v>-180</v>
      </c>
      <c r="X7" s="16">
        <f t="shared" si="0"/>
        <v>2.9916395473037483E-3</v>
      </c>
    </row>
    <row r="8" spans="1:24" x14ac:dyDescent="0.25">
      <c r="D8" s="33">
        <v>-100</v>
      </c>
      <c r="E8" s="33">
        <v>4.1368282912810486</v>
      </c>
      <c r="F8" s="25">
        <f t="shared" si="1"/>
        <v>1.539355712585504</v>
      </c>
      <c r="G8" s="25">
        <f t="shared" si="2"/>
        <v>2.5974725786955446</v>
      </c>
      <c r="H8" s="39"/>
      <c r="I8" s="39"/>
      <c r="W8" s="16">
        <f t="shared" si="3"/>
        <v>-175</v>
      </c>
      <c r="X8" s="16">
        <f t="shared" si="0"/>
        <v>4.838393682973674E-3</v>
      </c>
    </row>
    <row r="9" spans="1:24" x14ac:dyDescent="0.25">
      <c r="D9" s="33">
        <v>-75</v>
      </c>
      <c r="E9" s="33">
        <v>10.907950830840363</v>
      </c>
      <c r="F9" s="25">
        <f t="shared" si="1"/>
        <v>6.5519784439847371</v>
      </c>
      <c r="G9" s="25">
        <f t="shared" si="2"/>
        <v>4.3559723868556262</v>
      </c>
      <c r="H9" s="39"/>
      <c r="I9" s="39"/>
      <c r="W9" s="16">
        <f t="shared" si="3"/>
        <v>-170</v>
      </c>
      <c r="X9" s="16">
        <f t="shared" si="0"/>
        <v>7.7119475339060273E-3</v>
      </c>
    </row>
    <row r="10" spans="1:24" x14ac:dyDescent="0.25">
      <c r="D10" s="33">
        <v>-50</v>
      </c>
      <c r="E10" s="33">
        <v>27.416672065087042</v>
      </c>
      <c r="F10" s="25">
        <f t="shared" si="1"/>
        <v>22.48769796568385</v>
      </c>
      <c r="G10" s="25">
        <f t="shared" si="2"/>
        <v>4.9289740994031916</v>
      </c>
      <c r="H10" s="39"/>
      <c r="I10" s="39"/>
      <c r="W10" s="16">
        <f t="shared" si="3"/>
        <v>-165</v>
      </c>
      <c r="X10" s="16">
        <f t="shared" si="0"/>
        <v>1.2122165215089353E-2</v>
      </c>
    </row>
    <row r="11" spans="1:24" x14ac:dyDescent="0.25">
      <c r="D11" s="33">
        <v>-25</v>
      </c>
      <c r="E11" s="33">
        <v>61.856526915098875</v>
      </c>
      <c r="F11" s="25">
        <f t="shared" si="1"/>
        <v>59.505619712554939</v>
      </c>
      <c r="G11" s="25">
        <f t="shared" si="2"/>
        <v>2.3509072025439366</v>
      </c>
      <c r="H11" s="39"/>
      <c r="I11" s="39"/>
      <c r="W11" s="16">
        <f t="shared" si="3"/>
        <v>-160</v>
      </c>
      <c r="X11" s="16">
        <f t="shared" si="0"/>
        <v>1.8802467830880687E-2</v>
      </c>
    </row>
    <row r="12" spans="1:24" x14ac:dyDescent="0.25">
      <c r="D12" s="33">
        <v>-5</v>
      </c>
      <c r="E12" s="33">
        <v>103.53818061813008</v>
      </c>
      <c r="F12" s="25">
        <f t="shared" si="1"/>
        <v>103.42318453398954</v>
      </c>
      <c r="G12" s="25">
        <f t="shared" si="2"/>
        <v>0.11499608414054308</v>
      </c>
      <c r="H12" s="39"/>
      <c r="I12" s="39"/>
      <c r="W12" s="16">
        <f t="shared" si="3"/>
        <v>-155</v>
      </c>
      <c r="X12" s="16">
        <f t="shared" si="0"/>
        <v>2.8795010856654812E-2</v>
      </c>
    </row>
    <row r="13" spans="1:24" x14ac:dyDescent="0.25">
      <c r="D13" s="33">
        <v>0</v>
      </c>
      <c r="E13" s="33">
        <v>115</v>
      </c>
      <c r="F13" s="25">
        <f t="shared" si="1"/>
        <v>115</v>
      </c>
      <c r="G13" s="25">
        <f t="shared" si="2"/>
        <v>0</v>
      </c>
      <c r="H13" s="39"/>
      <c r="I13" s="39"/>
      <c r="W13" s="16">
        <f t="shared" si="3"/>
        <v>-150</v>
      </c>
      <c r="X13" s="16">
        <f t="shared" si="0"/>
        <v>4.3563367079798354E-2</v>
      </c>
    </row>
    <row r="14" spans="1:24" x14ac:dyDescent="0.25">
      <c r="D14" s="33">
        <v>5</v>
      </c>
      <c r="E14" s="33">
        <v>126.46181938186992</v>
      </c>
      <c r="F14" s="25">
        <f t="shared" si="1"/>
        <v>126.34907797300933</v>
      </c>
      <c r="G14" s="25">
        <f t="shared" si="2"/>
        <v>0.11274140886058603</v>
      </c>
      <c r="H14" s="39"/>
      <c r="I14" s="39"/>
      <c r="W14" s="16">
        <f t="shared" si="3"/>
        <v>-145</v>
      </c>
      <c r="X14" s="16">
        <f t="shared" si="0"/>
        <v>6.5139898804133622E-2</v>
      </c>
    </row>
    <row r="15" spans="1:24" x14ac:dyDescent="0.25">
      <c r="D15" s="33">
        <v>25</v>
      </c>
      <c r="E15" s="33">
        <v>168.14347308490113</v>
      </c>
      <c r="F15" s="25">
        <f t="shared" si="1"/>
        <v>165.96656355808193</v>
      </c>
      <c r="G15" s="25">
        <f t="shared" si="2"/>
        <v>2.1769095268192018</v>
      </c>
      <c r="H15" s="39"/>
      <c r="I15" s="39"/>
      <c r="W15" s="16">
        <f t="shared" si="3"/>
        <v>-140</v>
      </c>
      <c r="X15" s="16">
        <f t="shared" si="0"/>
        <v>9.6316337422180709E-2</v>
      </c>
    </row>
    <row r="16" spans="1:24" x14ac:dyDescent="0.25">
      <c r="D16" s="33">
        <v>50</v>
      </c>
      <c r="E16" s="33">
        <v>202.58332793491297</v>
      </c>
      <c r="F16" s="25">
        <f t="shared" si="1"/>
        <v>197.87999781414516</v>
      </c>
      <c r="G16" s="25">
        <f t="shared" si="2"/>
        <v>4.7033301207678164</v>
      </c>
      <c r="H16" s="39"/>
      <c r="W16" s="16">
        <f t="shared" si="3"/>
        <v>-135</v>
      </c>
      <c r="X16" s="16">
        <f t="shared" si="0"/>
        <v>0.1408874820237429</v>
      </c>
    </row>
    <row r="17" spans="4:24" x14ac:dyDescent="0.25">
      <c r="D17" s="33">
        <v>75</v>
      </c>
      <c r="E17" s="33">
        <v>219.09204916915962</v>
      </c>
      <c r="F17" s="25">
        <f t="shared" si="1"/>
        <v>214.2263986619418</v>
      </c>
      <c r="G17" s="25">
        <f t="shared" si="2"/>
        <v>4.865650507217822</v>
      </c>
      <c r="H17" s="39"/>
      <c r="W17" s="16">
        <f t="shared" si="3"/>
        <v>-130</v>
      </c>
      <c r="X17" s="16">
        <f t="shared" si="0"/>
        <v>0.20395928446311018</v>
      </c>
    </row>
    <row r="18" spans="4:24" x14ac:dyDescent="0.25">
      <c r="D18" s="33">
        <v>100</v>
      </c>
      <c r="E18" s="33">
        <v>225.86317170871894</v>
      </c>
      <c r="F18" s="25">
        <f t="shared" si="1"/>
        <v>222.07760499677144</v>
      </c>
      <c r="G18" s="25">
        <f t="shared" si="2"/>
        <v>3.7855667119474958</v>
      </c>
      <c r="H18" s="39"/>
      <c r="W18" s="16">
        <f t="shared" si="3"/>
        <v>-125</v>
      </c>
      <c r="X18" s="16">
        <f t="shared" si="0"/>
        <v>0.29233374050870964</v>
      </c>
    </row>
    <row r="19" spans="4:24" x14ac:dyDescent="0.25">
      <c r="D19" s="33">
        <v>125</v>
      </c>
      <c r="E19" s="33">
        <v>228.46064428741448</v>
      </c>
      <c r="F19" s="25">
        <f t="shared" si="1"/>
        <v>225.86317170871894</v>
      </c>
      <c r="G19" s="25">
        <f t="shared" si="2"/>
        <v>2.5974725786955446</v>
      </c>
      <c r="H19" s="39"/>
      <c r="W19" s="16">
        <f t="shared" si="3"/>
        <v>-120</v>
      </c>
      <c r="X19" s="16">
        <f t="shared" si="0"/>
        <v>0.41498368560345966</v>
      </c>
    </row>
    <row r="20" spans="4:24" x14ac:dyDescent="0.25">
      <c r="D20" s="33">
        <v>150</v>
      </c>
      <c r="E20" s="33">
        <v>229.43129667397403</v>
      </c>
      <c r="F20" s="25">
        <f t="shared" si="1"/>
        <v>227.74568764081033</v>
      </c>
      <c r="G20" s="25">
        <f t="shared" si="2"/>
        <v>1.6856090331637006</v>
      </c>
      <c r="H20" s="39"/>
      <c r="W20" s="16">
        <f t="shared" si="3"/>
        <v>-115</v>
      </c>
      <c r="X20" s="16">
        <f t="shared" si="0"/>
        <v>0.58363037652000571</v>
      </c>
    </row>
    <row r="21" spans="4:24" x14ac:dyDescent="0.25">
      <c r="D21" s="33">
        <v>175</v>
      </c>
      <c r="E21" s="33">
        <v>229.79045822528786</v>
      </c>
      <c r="F21" s="25">
        <f t="shared" si="1"/>
        <v>228.7194228949657</v>
      </c>
      <c r="G21" s="25">
        <f t="shared" si="2"/>
        <v>1.0710353303221609</v>
      </c>
      <c r="H21" s="39"/>
      <c r="W21" s="16">
        <f t="shared" si="3"/>
        <v>-110</v>
      </c>
      <c r="X21" s="16">
        <f t="shared" si="0"/>
        <v>0.81343498568823236</v>
      </c>
    </row>
    <row r="22" spans="4:24" x14ac:dyDescent="0.25">
      <c r="D22" s="33">
        <v>200</v>
      </c>
      <c r="E22" s="33">
        <v>229.92286946999269</v>
      </c>
      <c r="F22" s="25">
        <f t="shared" si="1"/>
        <v>229.24383788123515</v>
      </c>
      <c r="G22" s="25">
        <f t="shared" si="2"/>
        <v>0.67903158875753888</v>
      </c>
      <c r="H22" s="39"/>
      <c r="W22" s="16">
        <f t="shared" si="3"/>
        <v>-105</v>
      </c>
      <c r="X22" s="16">
        <f t="shared" si="0"/>
        <v>1.1238109036986543</v>
      </c>
    </row>
    <row r="23" spans="4:24" x14ac:dyDescent="0.25">
      <c r="D23" s="33"/>
      <c r="E23" s="33"/>
      <c r="F23" s="25" t="str">
        <f t="shared" si="1"/>
        <v/>
      </c>
      <c r="G23" s="25" t="str">
        <f t="shared" si="2"/>
        <v/>
      </c>
      <c r="H23" s="39"/>
      <c r="W23" s="16">
        <f t="shared" si="3"/>
        <v>-100</v>
      </c>
      <c r="X23" s="16">
        <f t="shared" si="0"/>
        <v>1.539355712585504</v>
      </c>
    </row>
    <row r="24" spans="4:24" x14ac:dyDescent="0.25">
      <c r="D24" s="33"/>
      <c r="E24" s="33"/>
      <c r="F24" s="25" t="str">
        <f t="shared" si="1"/>
        <v/>
      </c>
      <c r="G24" s="25" t="str">
        <f t="shared" si="2"/>
        <v/>
      </c>
      <c r="H24" s="39"/>
      <c r="W24" s="16">
        <f t="shared" si="3"/>
        <v>-95</v>
      </c>
      <c r="X24" s="16">
        <f t="shared" si="0"/>
        <v>2.0908880768378566</v>
      </c>
    </row>
    <row r="25" spans="4:24" x14ac:dyDescent="0.25">
      <c r="D25" s="33"/>
      <c r="E25" s="33"/>
      <c r="F25" s="25" t="str">
        <f t="shared" si="1"/>
        <v/>
      </c>
      <c r="G25" s="25" t="str">
        <f t="shared" si="2"/>
        <v/>
      </c>
      <c r="H25" s="39"/>
      <c r="W25" s="16">
        <f t="shared" si="3"/>
        <v>-90</v>
      </c>
      <c r="X25" s="16">
        <f t="shared" si="0"/>
        <v>2.8165533571684307</v>
      </c>
    </row>
    <row r="26" spans="4:24" x14ac:dyDescent="0.25">
      <c r="D26" s="33"/>
      <c r="E26" s="33"/>
      <c r="F26" s="25" t="str">
        <f t="shared" si="1"/>
        <v/>
      </c>
      <c r="G26" s="25" t="str">
        <f t="shared" si="2"/>
        <v/>
      </c>
      <c r="H26" s="39"/>
      <c r="W26" s="16">
        <f t="shared" si="3"/>
        <v>-85</v>
      </c>
      <c r="X26" s="16">
        <f t="shared" si="0"/>
        <v>3.7629299272601884</v>
      </c>
    </row>
    <row r="27" spans="4:24" x14ac:dyDescent="0.25">
      <c r="D27" s="33"/>
      <c r="E27" s="33"/>
      <c r="F27" s="25" t="str">
        <f t="shared" si="1"/>
        <v/>
      </c>
      <c r="G27" s="25" t="str">
        <f t="shared" si="2"/>
        <v/>
      </c>
      <c r="H27" s="39"/>
      <c r="W27" s="16">
        <f t="shared" si="3"/>
        <v>-80</v>
      </c>
      <c r="X27" s="16">
        <f t="shared" si="0"/>
        <v>4.9860235499595689</v>
      </c>
    </row>
    <row r="28" spans="4:24" x14ac:dyDescent="0.25">
      <c r="D28" s="33"/>
      <c r="E28" s="33"/>
      <c r="F28" s="25" t="str">
        <f t="shared" si="1"/>
        <v/>
      </c>
      <c r="G28" s="25" t="str">
        <f t="shared" si="2"/>
        <v/>
      </c>
      <c r="H28" s="39"/>
      <c r="W28" s="16">
        <f t="shared" si="3"/>
        <v>-75</v>
      </c>
      <c r="X28" s="16">
        <f t="shared" si="0"/>
        <v>6.5519784439847371</v>
      </c>
    </row>
    <row r="29" spans="4:24" x14ac:dyDescent="0.25">
      <c r="D29" s="33"/>
      <c r="E29" s="33"/>
      <c r="F29" s="25" t="str">
        <f t="shared" si="1"/>
        <v/>
      </c>
      <c r="G29" s="25" t="str">
        <f t="shared" si="2"/>
        <v/>
      </c>
      <c r="H29" s="39"/>
      <c r="W29" s="16">
        <f t="shared" si="3"/>
        <v>-70</v>
      </c>
      <c r="X29" s="16">
        <f t="shared" si="0"/>
        <v>8.5372623996455985</v>
      </c>
    </row>
    <row r="30" spans="4:24" x14ac:dyDescent="0.25">
      <c r="D30" s="33"/>
      <c r="E30" s="33"/>
      <c r="F30" s="25" t="str">
        <f t="shared" si="1"/>
        <v/>
      </c>
      <c r="G30" s="25" t="str">
        <f t="shared" si="2"/>
        <v/>
      </c>
      <c r="H30" s="39"/>
      <c r="W30" s="16">
        <f t="shared" si="3"/>
        <v>-65</v>
      </c>
      <c r="X30" s="16">
        <f t="shared" si="0"/>
        <v>11.028006587988529</v>
      </c>
    </row>
    <row r="31" spans="4:24" x14ac:dyDescent="0.25">
      <c r="D31" s="33"/>
      <c r="E31" s="33"/>
      <c r="F31" s="25" t="str">
        <f t="shared" si="1"/>
        <v/>
      </c>
      <c r="G31" s="25" t="str">
        <f t="shared" si="2"/>
        <v/>
      </c>
      <c r="H31" s="39"/>
      <c r="W31" s="16">
        <f t="shared" si="3"/>
        <v>-60</v>
      </c>
      <c r="X31" s="16">
        <f t="shared" si="0"/>
        <v>14.118114702803197</v>
      </c>
    </row>
    <row r="32" spans="4:24" x14ac:dyDescent="0.25">
      <c r="D32" s="33"/>
      <c r="E32" s="33"/>
      <c r="F32" s="25" t="str">
        <f t="shared" si="1"/>
        <v/>
      </c>
      <c r="G32" s="25" t="str">
        <f t="shared" si="2"/>
        <v/>
      </c>
      <c r="H32" s="39"/>
      <c r="W32" s="16">
        <f t="shared" si="3"/>
        <v>-55</v>
      </c>
      <c r="X32" s="16">
        <f t="shared" si="0"/>
        <v>17.905729338435862</v>
      </c>
    </row>
    <row r="33" spans="1:24" x14ac:dyDescent="0.25">
      <c r="D33" s="33"/>
      <c r="E33" s="33"/>
      <c r="F33" s="25" t="str">
        <f t="shared" si="1"/>
        <v/>
      </c>
      <c r="G33" s="25" t="str">
        <f t="shared" si="2"/>
        <v/>
      </c>
      <c r="H33" s="39"/>
      <c r="W33" s="16">
        <f t="shared" si="3"/>
        <v>-50</v>
      </c>
      <c r="X33" s="16">
        <f t="shared" si="0"/>
        <v>22.48769796568385</v>
      </c>
    </row>
    <row r="34" spans="1:24" x14ac:dyDescent="0.25">
      <c r="D34" s="33"/>
      <c r="E34" s="33"/>
      <c r="F34" s="25" t="str">
        <f t="shared" si="1"/>
        <v/>
      </c>
      <c r="G34" s="25" t="str">
        <f t="shared" si="2"/>
        <v/>
      </c>
      <c r="W34" s="16">
        <f t="shared" si="3"/>
        <v>-45</v>
      </c>
      <c r="X34" s="16">
        <f t="shared" si="0"/>
        <v>27.951866458545609</v>
      </c>
    </row>
    <row r="35" spans="1:24" x14ac:dyDescent="0.25">
      <c r="D35" s="40"/>
      <c r="E35" s="40"/>
      <c r="F35" s="25" t="str">
        <f t="shared" si="1"/>
        <v/>
      </c>
      <c r="G35" s="25" t="str">
        <f t="shared" si="2"/>
        <v/>
      </c>
      <c r="W35" s="16">
        <f t="shared" si="3"/>
        <v>-40</v>
      </c>
      <c r="X35" s="16">
        <f t="shared" ref="X35:X66" si="4">(LS+US)/2+(US-LS)/2*TANH(($W35-T0_ATANH)/(C_ATANH+D_ATANH*$W35))</f>
        <v>34.367386406021211</v>
      </c>
    </row>
    <row r="36" spans="1:24" x14ac:dyDescent="0.25">
      <c r="A36" s="20" t="s">
        <v>0</v>
      </c>
      <c r="W36" s="16">
        <f t="shared" si="3"/>
        <v>-35</v>
      </c>
      <c r="X36" s="16">
        <f t="shared" si="4"/>
        <v>41.773756864148169</v>
      </c>
    </row>
    <row r="37" spans="1:24" x14ac:dyDescent="0.25">
      <c r="W37" s="16">
        <f t="shared" si="3"/>
        <v>-30</v>
      </c>
      <c r="X37" s="16">
        <f t="shared" si="4"/>
        <v>50.169959871412019</v>
      </c>
    </row>
    <row r="38" spans="1:24" x14ac:dyDescent="0.25">
      <c r="A38" s="21" t="s">
        <v>10</v>
      </c>
      <c r="B38" s="34">
        <v>0</v>
      </c>
      <c r="C38" s="22" t="s">
        <v>1</v>
      </c>
      <c r="D38" s="27" t="s">
        <v>28</v>
      </c>
      <c r="E38" s="28">
        <f>SQRT(SUMSQ(Residuals_ATANH)/(COUNT(Y_values)-3))</f>
        <v>2.8886776036761175</v>
      </c>
      <c r="W38" s="16">
        <f>W37+5</f>
        <v>-25</v>
      </c>
      <c r="X38" s="16">
        <f t="shared" si="4"/>
        <v>59.505619712554939</v>
      </c>
    </row>
    <row r="39" spans="1:24" x14ac:dyDescent="0.25">
      <c r="A39" s="21" t="s">
        <v>11</v>
      </c>
      <c r="B39" s="35">
        <v>230</v>
      </c>
      <c r="C39" s="22" t="s">
        <v>1</v>
      </c>
      <c r="E39" s="23" t="e">
        <f>(LS_Burr+US_Burr)/2</f>
        <v>#NAME?</v>
      </c>
      <c r="F39" s="24"/>
      <c r="G39" s="26"/>
      <c r="H39" s="24">
        <v>0</v>
      </c>
      <c r="W39" s="16">
        <f t="shared" si="3"/>
        <v>-20</v>
      </c>
      <c r="X39" s="16">
        <f t="shared" si="4"/>
        <v>69.676364687956323</v>
      </c>
    </row>
    <row r="40" spans="1:24" x14ac:dyDescent="0.25">
      <c r="E40" s="23" t="e">
        <f>LS_Burr+(US_Burr-LS_Burr)*((1+EXP(-k*(#REF!-T0_Burr)))^(-m))</f>
        <v>#NAME?</v>
      </c>
      <c r="F40" s="25" t="e">
        <f>ABS(E39-E40)</f>
        <v>#NAME?</v>
      </c>
      <c r="G40" s="24">
        <f>DBTT_Burr</f>
        <v>-6.9304947659516261</v>
      </c>
      <c r="H40" s="24" t="e">
        <f>Y_DBTT</f>
        <v>#NAME?</v>
      </c>
      <c r="W40" s="16">
        <f t="shared" si="3"/>
        <v>-15</v>
      </c>
      <c r="X40" s="16">
        <f t="shared" si="4"/>
        <v>80.525249025348629</v>
      </c>
    </row>
    <row r="41" spans="1:24" x14ac:dyDescent="0.25">
      <c r="W41" s="16">
        <f t="shared" si="3"/>
        <v>-10</v>
      </c>
      <c r="X41" s="16">
        <f t="shared" si="4"/>
        <v>91.851101988029086</v>
      </c>
    </row>
    <row r="42" spans="1:24" ht="18" customHeight="1" x14ac:dyDescent="0.25">
      <c r="A42" s="20" t="s">
        <v>2</v>
      </c>
      <c r="B42" s="21" t="s">
        <v>20</v>
      </c>
      <c r="C42" s="34">
        <v>50</v>
      </c>
      <c r="D42" s="22" t="s">
        <v>26</v>
      </c>
      <c r="E42" s="22"/>
      <c r="F42" s="22"/>
      <c r="I42" s="24">
        <f>T0_ATANH</f>
        <v>0</v>
      </c>
      <c r="J42" s="24">
        <v>0</v>
      </c>
      <c r="W42" s="16">
        <f t="shared" si="3"/>
        <v>-5</v>
      </c>
      <c r="X42" s="16">
        <f t="shared" si="4"/>
        <v>103.42318453398954</v>
      </c>
    </row>
    <row r="43" spans="1:24" x14ac:dyDescent="0.25">
      <c r="B43" s="21" t="s">
        <v>25</v>
      </c>
      <c r="C43" s="35">
        <v>0.1</v>
      </c>
      <c r="D43" s="22" t="s">
        <v>27</v>
      </c>
      <c r="E43" s="22"/>
      <c r="F43" s="22"/>
      <c r="I43" s="24">
        <f>T0_ATANH</f>
        <v>0</v>
      </c>
      <c r="J43" s="24">
        <f>(LS+US)/2</f>
        <v>115</v>
      </c>
      <c r="W43" s="16">
        <f t="shared" si="3"/>
        <v>0</v>
      </c>
      <c r="X43" s="38">
        <f t="shared" si="4"/>
        <v>115</v>
      </c>
    </row>
    <row r="44" spans="1:24" x14ac:dyDescent="0.25">
      <c r="B44" s="21" t="s">
        <v>18</v>
      </c>
      <c r="C44" s="34">
        <v>0</v>
      </c>
      <c r="D44" s="22" t="s">
        <v>4</v>
      </c>
      <c r="E44" s="22"/>
      <c r="F44" s="22"/>
      <c r="W44" s="16">
        <f t="shared" si="3"/>
        <v>5</v>
      </c>
      <c r="X44" s="16">
        <f t="shared" si="4"/>
        <v>126.34907797300933</v>
      </c>
    </row>
    <row r="45" spans="1:24" x14ac:dyDescent="0.25">
      <c r="W45" s="16">
        <f t="shared" si="3"/>
        <v>10</v>
      </c>
      <c r="X45" s="16">
        <f t="shared" si="4"/>
        <v>137.26441678028763</v>
      </c>
    </row>
    <row r="46" spans="1:24" x14ac:dyDescent="0.25">
      <c r="W46" s="16">
        <f t="shared" si="3"/>
        <v>15</v>
      </c>
      <c r="X46" s="16">
        <f t="shared" si="4"/>
        <v>147.57904786314927</v>
      </c>
    </row>
    <row r="47" spans="1:24" x14ac:dyDescent="0.25">
      <c r="W47" s="16">
        <f t="shared" si="3"/>
        <v>20</v>
      </c>
      <c r="X47" s="16">
        <f t="shared" si="4"/>
        <v>157.1715281431901</v>
      </c>
    </row>
    <row r="48" spans="1:24" x14ac:dyDescent="0.25">
      <c r="W48" s="16">
        <f t="shared" si="3"/>
        <v>25</v>
      </c>
      <c r="X48" s="16">
        <f t="shared" si="4"/>
        <v>165.96656355808193</v>
      </c>
    </row>
    <row r="49" spans="23:24" x14ac:dyDescent="0.25">
      <c r="W49" s="16">
        <f t="shared" si="3"/>
        <v>30</v>
      </c>
      <c r="X49" s="16">
        <f t="shared" si="4"/>
        <v>173.93099482638047</v>
      </c>
    </row>
    <row r="50" spans="23:24" x14ac:dyDescent="0.25">
      <c r="W50" s="16">
        <f t="shared" si="3"/>
        <v>35</v>
      </c>
      <c r="X50" s="16">
        <f t="shared" si="4"/>
        <v>181.06684983706063</v>
      </c>
    </row>
    <row r="51" spans="23:24" x14ac:dyDescent="0.25">
      <c r="W51" s="16">
        <f t="shared" si="3"/>
        <v>40</v>
      </c>
      <c r="X51" s="16">
        <f t="shared" si="4"/>
        <v>187.40313645470769</v>
      </c>
    </row>
    <row r="52" spans="23:24" x14ac:dyDescent="0.25">
      <c r="W52" s="16">
        <f t="shared" si="3"/>
        <v>45</v>
      </c>
      <c r="X52" s="16">
        <f t="shared" si="4"/>
        <v>192.98769938875782</v>
      </c>
    </row>
    <row r="53" spans="23:24" x14ac:dyDescent="0.25">
      <c r="W53" s="16">
        <f t="shared" si="3"/>
        <v>50</v>
      </c>
      <c r="X53" s="16">
        <f t="shared" si="4"/>
        <v>197.87999781414516</v>
      </c>
    </row>
    <row r="54" spans="23:24" x14ac:dyDescent="0.25">
      <c r="W54" s="16">
        <f t="shared" si="3"/>
        <v>55</v>
      </c>
      <c r="X54" s="16">
        <f t="shared" si="4"/>
        <v>202.1452253217675</v>
      </c>
    </row>
    <row r="55" spans="23:24" x14ac:dyDescent="0.25">
      <c r="W55" s="16">
        <f t="shared" si="3"/>
        <v>60</v>
      </c>
      <c r="X55" s="16">
        <f t="shared" si="4"/>
        <v>205.84986544533908</v>
      </c>
    </row>
    <row r="56" spans="23:24" x14ac:dyDescent="0.25">
      <c r="W56" s="16">
        <f t="shared" si="3"/>
        <v>65</v>
      </c>
      <c r="X56" s="16">
        <f t="shared" si="4"/>
        <v>209.05856994816338</v>
      </c>
    </row>
    <row r="57" spans="23:24" x14ac:dyDescent="0.25">
      <c r="W57" s="16">
        <f t="shared" si="3"/>
        <v>70</v>
      </c>
      <c r="X57" s="16">
        <f t="shared" si="4"/>
        <v>211.83214470539332</v>
      </c>
    </row>
    <row r="58" spans="23:24" x14ac:dyDescent="0.25">
      <c r="W58" s="16">
        <f>W57+5</f>
        <v>75</v>
      </c>
      <c r="X58" s="16">
        <f t="shared" si="4"/>
        <v>214.2263986619418</v>
      </c>
    </row>
    <row r="59" spans="23:24" x14ac:dyDescent="0.25">
      <c r="W59" s="16">
        <f t="shared" si="3"/>
        <v>80</v>
      </c>
      <c r="X59" s="16">
        <f t="shared" si="4"/>
        <v>216.29162547367272</v>
      </c>
    </row>
    <row r="60" spans="23:24" x14ac:dyDescent="0.25">
      <c r="W60" s="16">
        <f t="shared" si="3"/>
        <v>85</v>
      </c>
      <c r="X60" s="16">
        <f t="shared" si="4"/>
        <v>218.07252248312591</v>
      </c>
    </row>
    <row r="61" spans="23:24" x14ac:dyDescent="0.25">
      <c r="W61" s="16">
        <f t="shared" si="3"/>
        <v>90</v>
      </c>
      <c r="X61" s="16">
        <f t="shared" si="4"/>
        <v>219.6083929040864</v>
      </c>
    </row>
    <row r="62" spans="23:24" x14ac:dyDescent="0.25">
      <c r="W62" s="16">
        <f t="shared" si="3"/>
        <v>95</v>
      </c>
      <c r="X62" s="16">
        <f t="shared" si="4"/>
        <v>220.93351621439217</v>
      </c>
    </row>
    <row r="63" spans="23:24" x14ac:dyDescent="0.25">
      <c r="W63" s="16">
        <f t="shared" si="3"/>
        <v>100</v>
      </c>
      <c r="X63" s="16">
        <f t="shared" si="4"/>
        <v>222.07760499677144</v>
      </c>
    </row>
    <row r="64" spans="23:24" x14ac:dyDescent="0.25">
      <c r="W64" s="16">
        <f t="shared" si="3"/>
        <v>105</v>
      </c>
      <c r="X64" s="16">
        <f t="shared" si="4"/>
        <v>223.06629276917073</v>
      </c>
    </row>
    <row r="65" spans="23:24" x14ac:dyDescent="0.25">
      <c r="W65" s="16">
        <f t="shared" si="3"/>
        <v>110</v>
      </c>
      <c r="X65" s="16">
        <f t="shared" si="4"/>
        <v>223.92161710177157</v>
      </c>
    </row>
    <row r="66" spans="23:24" x14ac:dyDescent="0.25">
      <c r="W66" s="16">
        <f t="shared" si="3"/>
        <v>115</v>
      </c>
      <c r="X66" s="16">
        <f t="shared" si="4"/>
        <v>224.66247654302592</v>
      </c>
    </row>
    <row r="67" spans="23:24" x14ac:dyDescent="0.25">
      <c r="W67" s="16">
        <f t="shared" si="3"/>
        <v>120</v>
      </c>
      <c r="X67" s="16">
        <f t="shared" ref="X67:X103" si="5">(LS+US)/2+(US-LS)/2*TANH(($W67-T0_ATANH)/(C_ATANH+D_ATANH*$W67))</f>
        <v>225.30504973861574</v>
      </c>
    </row>
    <row r="68" spans="23:24" x14ac:dyDescent="0.25">
      <c r="W68" s="16">
        <f t="shared" si="3"/>
        <v>125</v>
      </c>
      <c r="X68" s="16">
        <f t="shared" si="5"/>
        <v>225.86317170871894</v>
      </c>
    </row>
    <row r="69" spans="23:24" x14ac:dyDescent="0.25">
      <c r="W69" s="16">
        <f t="shared" ref="W69:W76" si="6">W68+5</f>
        <v>130</v>
      </c>
      <c r="X69" s="16">
        <f t="shared" si="5"/>
        <v>226.34866645607869</v>
      </c>
    </row>
    <row r="70" spans="23:24" x14ac:dyDescent="0.25">
      <c r="W70" s="16">
        <f t="shared" si="6"/>
        <v>135</v>
      </c>
      <c r="X70" s="16">
        <f t="shared" si="5"/>
        <v>226.77163762018455</v>
      </c>
    </row>
    <row r="71" spans="23:24" x14ac:dyDescent="0.25">
      <c r="W71" s="16">
        <f t="shared" si="6"/>
        <v>140</v>
      </c>
      <c r="X71" s="16">
        <f t="shared" si="5"/>
        <v>227.14072030376724</v>
      </c>
    </row>
    <row r="72" spans="23:24" x14ac:dyDescent="0.25">
      <c r="W72" s="16">
        <f t="shared" si="6"/>
        <v>145</v>
      </c>
      <c r="X72" s="16">
        <f t="shared" si="5"/>
        <v>227.46329786265528</v>
      </c>
    </row>
    <row r="73" spans="23:24" x14ac:dyDescent="0.25">
      <c r="W73" s="16">
        <f t="shared" si="6"/>
        <v>150</v>
      </c>
      <c r="X73" s="16">
        <f t="shared" si="5"/>
        <v>227.74568764081033</v>
      </c>
    </row>
    <row r="74" spans="23:24" x14ac:dyDescent="0.25">
      <c r="W74" s="16">
        <f t="shared" si="6"/>
        <v>155</v>
      </c>
      <c r="X74" s="16">
        <f t="shared" si="5"/>
        <v>227.99329953598811</v>
      </c>
    </row>
    <row r="75" spans="23:24" x14ac:dyDescent="0.25">
      <c r="W75" s="16">
        <f t="shared" si="6"/>
        <v>160</v>
      </c>
      <c r="X75" s="16">
        <f t="shared" si="5"/>
        <v>228.21077102334979</v>
      </c>
    </row>
    <row r="76" spans="23:24" x14ac:dyDescent="0.25">
      <c r="W76" s="16">
        <f t="shared" si="6"/>
        <v>165</v>
      </c>
      <c r="X76" s="16">
        <f t="shared" si="5"/>
        <v>228.40208192636439</v>
      </c>
    </row>
    <row r="77" spans="23:24" x14ac:dyDescent="0.25">
      <c r="W77" s="16">
        <f>W76+5</f>
        <v>170</v>
      </c>
      <c r="X77" s="16">
        <f t="shared" si="5"/>
        <v>228.57065185830379</v>
      </c>
    </row>
    <row r="78" spans="23:24" x14ac:dyDescent="0.25">
      <c r="W78" s="16">
        <f t="shared" ref="W78:W88" si="7">W77+5</f>
        <v>175</v>
      </c>
      <c r="X78" s="16">
        <f t="shared" si="5"/>
        <v>228.7194228949657</v>
      </c>
    </row>
    <row r="79" spans="23:24" x14ac:dyDescent="0.25">
      <c r="W79" s="16">
        <f t="shared" si="7"/>
        <v>180</v>
      </c>
      <c r="X79" s="16">
        <f t="shared" si="5"/>
        <v>228.8509296978437</v>
      </c>
    </row>
    <row r="80" spans="23:24" x14ac:dyDescent="0.25">
      <c r="W80" s="16">
        <f t="shared" si="7"/>
        <v>185</v>
      </c>
      <c r="X80" s="16">
        <f t="shared" si="5"/>
        <v>228.96735899589859</v>
      </c>
    </row>
    <row r="81" spans="23:24" x14ac:dyDescent="0.25">
      <c r="W81" s="16">
        <f t="shared" si="7"/>
        <v>190</v>
      </c>
      <c r="X81" s="16">
        <f t="shared" si="5"/>
        <v>229.07060005692398</v>
      </c>
    </row>
    <row r="82" spans="23:24" x14ac:dyDescent="0.25">
      <c r="W82" s="16">
        <f t="shared" si="7"/>
        <v>195</v>
      </c>
      <c r="X82" s="16">
        <f t="shared" si="5"/>
        <v>229.16228753642781</v>
      </c>
    </row>
    <row r="83" spans="23:24" x14ac:dyDescent="0.25">
      <c r="W83" s="16">
        <f t="shared" si="7"/>
        <v>200</v>
      </c>
      <c r="X83" s="16">
        <f t="shared" si="5"/>
        <v>229.24383788123515</v>
      </c>
    </row>
    <row r="84" spans="23:24" x14ac:dyDescent="0.25">
      <c r="W84" s="16">
        <f t="shared" si="7"/>
        <v>205</v>
      </c>
      <c r="X84" s="16">
        <f t="shared" si="5"/>
        <v>229.31648028390561</v>
      </c>
    </row>
    <row r="85" spans="23:24" x14ac:dyDescent="0.25">
      <c r="W85" s="16">
        <f t="shared" si="7"/>
        <v>210</v>
      </c>
      <c r="X85" s="16">
        <f t="shared" si="5"/>
        <v>229.38128302939165</v>
      </c>
    </row>
    <row r="86" spans="23:24" x14ac:dyDescent="0.25">
      <c r="W86" s="16">
        <f t="shared" si="7"/>
        <v>215</v>
      </c>
      <c r="X86" s="16">
        <f t="shared" si="5"/>
        <v>229.43917594392138</v>
      </c>
    </row>
    <row r="87" spans="23:24" x14ac:dyDescent="0.25">
      <c r="W87" s="16">
        <f t="shared" si="7"/>
        <v>220</v>
      </c>
      <c r="X87" s="16">
        <f t="shared" si="5"/>
        <v>229.49096954477491</v>
      </c>
    </row>
    <row r="88" spans="23:24" x14ac:dyDescent="0.25">
      <c r="W88" s="16">
        <f t="shared" si="7"/>
        <v>225</v>
      </c>
      <c r="X88" s="16">
        <f t="shared" si="5"/>
        <v>229.53737139561872</v>
      </c>
    </row>
    <row r="89" spans="23:24" x14ac:dyDescent="0.25">
      <c r="W89" s="16">
        <f>W88+5</f>
        <v>230</v>
      </c>
      <c r="X89" s="16">
        <f t="shared" si="5"/>
        <v>229.57900009281448</v>
      </c>
    </row>
    <row r="90" spans="23:24" x14ac:dyDescent="0.25">
      <c r="W90" s="16">
        <f t="shared" ref="W90:W97" si="8">W89+5</f>
        <v>235</v>
      </c>
      <c r="X90" s="16">
        <f t="shared" si="5"/>
        <v>229.61639724140909</v>
      </c>
    </row>
    <row r="91" spans="23:24" x14ac:dyDescent="0.25">
      <c r="W91" s="16">
        <f t="shared" si="8"/>
        <v>240</v>
      </c>
      <c r="X91" s="16">
        <f t="shared" si="5"/>
        <v>229.65003772339986</v>
      </c>
    </row>
    <row r="92" spans="23:24" x14ac:dyDescent="0.25">
      <c r="W92" s="16">
        <f t="shared" si="8"/>
        <v>245</v>
      </c>
      <c r="X92" s="16">
        <f t="shared" si="5"/>
        <v>229.68033851368978</v>
      </c>
    </row>
    <row r="93" spans="23:24" x14ac:dyDescent="0.25">
      <c r="W93" s="16">
        <f t="shared" si="8"/>
        <v>250</v>
      </c>
      <c r="X93" s="16">
        <f t="shared" si="5"/>
        <v>229.7076662594913</v>
      </c>
    </row>
    <row r="94" spans="23:24" x14ac:dyDescent="0.25">
      <c r="W94" s="16">
        <f t="shared" si="8"/>
        <v>255</v>
      </c>
      <c r="X94" s="16">
        <f t="shared" si="5"/>
        <v>229.7323438055937</v>
      </c>
    </row>
    <row r="95" spans="23:24" x14ac:dyDescent="0.25">
      <c r="W95" s="16">
        <f t="shared" si="8"/>
        <v>260</v>
      </c>
      <c r="X95" s="16">
        <f t="shared" si="5"/>
        <v>229.75465581986833</v>
      </c>
    </row>
    <row r="96" spans="23:24" x14ac:dyDescent="0.25">
      <c r="W96" s="16">
        <f t="shared" si="8"/>
        <v>265</v>
      </c>
      <c r="X96" s="16">
        <f t="shared" si="5"/>
        <v>229.77485364978997</v>
      </c>
    </row>
    <row r="97" spans="23:24" x14ac:dyDescent="0.25">
      <c r="W97" s="16">
        <f t="shared" si="8"/>
        <v>270</v>
      </c>
      <c r="X97" s="16">
        <f t="shared" si="5"/>
        <v>229.79315952088751</v>
      </c>
    </row>
    <row r="98" spans="23:24" x14ac:dyDescent="0.25">
      <c r="W98" s="16">
        <f>W97+5</f>
        <v>275</v>
      </c>
      <c r="X98" s="16">
        <f t="shared" si="5"/>
        <v>229.8097701712943</v>
      </c>
    </row>
    <row r="99" spans="23:24" x14ac:dyDescent="0.25">
      <c r="W99" s="16">
        <f t="shared" ref="W99:W101" si="9">W98+5</f>
        <v>280</v>
      </c>
      <c r="X99" s="16">
        <f t="shared" si="5"/>
        <v>229.82486000245163</v>
      </c>
    </row>
    <row r="100" spans="23:24" x14ac:dyDescent="0.25">
      <c r="W100" s="16">
        <f t="shared" si="9"/>
        <v>285</v>
      </c>
      <c r="X100" s="16">
        <f t="shared" si="5"/>
        <v>229.83858381409868</v>
      </c>
    </row>
    <row r="101" spans="23:24" x14ac:dyDescent="0.25">
      <c r="W101" s="16">
        <f t="shared" si="9"/>
        <v>290</v>
      </c>
      <c r="X101" s="16">
        <f t="shared" si="5"/>
        <v>229.85107918161145</v>
      </c>
    </row>
    <row r="102" spans="23:24" x14ac:dyDescent="0.25">
      <c r="W102" s="16">
        <f>W101+5</f>
        <v>295</v>
      </c>
      <c r="X102" s="16">
        <f t="shared" si="5"/>
        <v>229.86246852523107</v>
      </c>
    </row>
    <row r="103" spans="23:24" x14ac:dyDescent="0.25">
      <c r="W103" s="16">
        <f t="shared" ref="W103" si="10">W102+5</f>
        <v>300</v>
      </c>
      <c r="X103" s="16">
        <f t="shared" si="5"/>
        <v>229.87286091350757</v>
      </c>
    </row>
  </sheetData>
  <mergeCells count="2">
    <mergeCell ref="A1:F1"/>
    <mergeCell ref="X1:X2"/>
  </mergeCells>
  <dataValidations count="2">
    <dataValidation operator="greaterThan" allowBlank="1" showInputMessage="1" showErrorMessage="1" errorTitle="ERROR" error="Zero or negative values are not allowed" promptTitle="Zero/negative values not allowed" sqref="C44" xr:uid="{7C731F19-7083-4812-8A8B-91088E41013B}"/>
    <dataValidation type="whole" operator="greaterThanOrEqual" allowBlank="1" showInputMessage="1" showErrorMessage="1" errorTitle="ERROR" error="Negative or zero values are not allowed" promptTitle="Negative or 0 values not allowed" sqref="C42" xr:uid="{CE045839-F346-4D40-9737-8C5C7EB45CE8}">
      <formula1>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_increase">
                <anchor moveWithCells="1" sizeWithCells="1">
                  <from>
                    <xdr:col>3</xdr:col>
                    <xdr:colOff>600075</xdr:colOff>
                    <xdr:row>40</xdr:row>
                    <xdr:rowOff>180975</xdr:rowOff>
                  </from>
                  <to>
                    <xdr:col>5</xdr:col>
                    <xdr:colOff>0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_decrease">
                <anchor moveWithCells="1" sizeWithCells="1">
                  <from>
                    <xdr:col>5</xdr:col>
                    <xdr:colOff>9525</xdr:colOff>
                    <xdr:row>40</xdr:row>
                    <xdr:rowOff>180975</xdr:rowOff>
                  </from>
                  <to>
                    <xdr:col>6</xdr:col>
                    <xdr:colOff>9525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T0ATANH_increase">
                <anchor moveWithCells="1" sizeWithCells="1">
                  <from>
                    <xdr:col>3</xdr:col>
                    <xdr:colOff>609600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D_minus">
                <anchor moveWithCells="1" sizeWithCells="1">
                  <from>
                    <xdr:col>5</xdr:col>
                    <xdr:colOff>0</xdr:colOff>
                    <xdr:row>41</xdr:row>
                    <xdr:rowOff>219075</xdr:rowOff>
                  </from>
                  <to>
                    <xdr:col>6</xdr:col>
                    <xdr:colOff>9525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D_plus">
                <anchor moveWithCells="1" sizeWithCells="1">
                  <from>
                    <xdr:col>3</xdr:col>
                    <xdr:colOff>600075</xdr:colOff>
                    <xdr:row>41</xdr:row>
                    <xdr:rowOff>219075</xdr:rowOff>
                  </from>
                  <to>
                    <xdr:col>5</xdr:col>
                    <xdr:colOff>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9" name="Button 8">
              <controlPr defaultSize="0" print="0" autoFill="0" autoPict="0" macro="[0]!Reset_ATANH">
                <anchor moveWithCells="1" sizeWithCells="1">
                  <from>
                    <xdr:col>6</xdr:col>
                    <xdr:colOff>238125</xdr:colOff>
                    <xdr:row>41</xdr:row>
                    <xdr:rowOff>123825</xdr:rowOff>
                  </from>
                  <to>
                    <xdr:col>7</xdr:col>
                    <xdr:colOff>257175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T0ATANH_decrease">
                <anchor moveWithCells="1" sizeWithCells="1">
                  <from>
                    <xdr:col>5</xdr:col>
                    <xdr:colOff>9525</xdr:colOff>
                    <xdr:row>43</xdr:row>
                    <xdr:rowOff>0</xdr:rowOff>
                  </from>
                  <to>
                    <xdr:col>6</xdr:col>
                    <xdr:colOff>9525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5B833-19DB-4671-BB6A-986B8672EAF1}">
  <sheetPr codeName="Sheet1"/>
  <dimension ref="A1:Y103"/>
  <sheetViews>
    <sheetView topLeftCell="A8" zoomScaleNormal="100" workbookViewId="0">
      <selection activeCell="C45" sqref="C45"/>
    </sheetView>
  </sheetViews>
  <sheetFormatPr defaultRowHeight="15" x14ac:dyDescent="0.25"/>
  <cols>
    <col min="23" max="23" width="9.140625" style="1"/>
    <col min="24" max="24" width="10.7109375" customWidth="1"/>
  </cols>
  <sheetData>
    <row r="1" spans="1:25" ht="21" x14ac:dyDescent="0.35">
      <c r="A1" s="45" t="s">
        <v>12</v>
      </c>
      <c r="B1" s="45"/>
      <c r="C1" s="45"/>
      <c r="D1" s="45"/>
      <c r="E1" s="45"/>
      <c r="F1" s="45"/>
      <c r="W1" s="1" t="s">
        <v>7</v>
      </c>
      <c r="X1" s="43" t="s">
        <v>9</v>
      </c>
      <c r="Y1" s="42" t="s">
        <v>15</v>
      </c>
    </row>
    <row r="2" spans="1:25" x14ac:dyDescent="0.25">
      <c r="W2" s="1" t="s">
        <v>8</v>
      </c>
      <c r="X2" s="44"/>
      <c r="Y2" s="42"/>
    </row>
    <row r="3" spans="1:25" x14ac:dyDescent="0.25">
      <c r="B3" s="6" t="s">
        <v>13</v>
      </c>
      <c r="D3" s="9" t="s">
        <v>17</v>
      </c>
      <c r="E3" s="9" t="s">
        <v>16</v>
      </c>
      <c r="W3" s="1">
        <v>-200</v>
      </c>
      <c r="X3" s="1">
        <f t="shared" ref="X3:X34" si="0">(1+EXP(-k*($W3-T0_Burr)))^(-m)</f>
        <v>2.0611536224385579E-9</v>
      </c>
      <c r="Y3" s="1">
        <f t="shared" ref="Y3:Y34" si="1">LS+(US-LS)*$X3</f>
        <v>4.7406533316086831E-7</v>
      </c>
    </row>
    <row r="4" spans="1:25" x14ac:dyDescent="0.25">
      <c r="D4" s="8">
        <f t="shared" ref="D4:D35" si="2">IF(ISBLANK(Temperatures),NA(),Temperatures)</f>
        <v>-196</v>
      </c>
      <c r="E4" s="8">
        <f t="shared" ref="E4:E35" si="3">IF(ISBLANK(Y_values),NA(),Y_values)</f>
        <v>9.0508249055091028E-2</v>
      </c>
      <c r="F4" s="12">
        <f t="shared" ref="F4:F35" si="4">IF(ISBLANK(Y_values),"",(1+EXP(-k*(Temperatures-T0_Burr)))^(-m))</f>
        <v>3.0748798795866061E-9</v>
      </c>
      <c r="G4" s="12">
        <f t="shared" ref="G4:G35" si="5">IF(ISBLANK(Y_values),"",LS+(US-LS)*Xi_values)</f>
        <v>7.072223723049194E-7</v>
      </c>
      <c r="H4" s="11">
        <f t="shared" ref="H4:H35" si="6">IF(ISBLANK(Y_values),"",Y_values-Fit_BURR)</f>
        <v>9.0507541832718724E-2</v>
      </c>
      <c r="W4" s="1">
        <f>W3+5</f>
        <v>-195</v>
      </c>
      <c r="X4" s="1">
        <f t="shared" si="0"/>
        <v>3.3982678194950715E-9</v>
      </c>
      <c r="Y4" s="1">
        <f t="shared" si="1"/>
        <v>7.8160159848386644E-7</v>
      </c>
    </row>
    <row r="5" spans="1:25" x14ac:dyDescent="0.25">
      <c r="D5" s="8">
        <f t="shared" si="2"/>
        <v>-175</v>
      </c>
      <c r="E5" s="8">
        <f t="shared" si="3"/>
        <v>0.20954177471215019</v>
      </c>
      <c r="F5" s="12">
        <f t="shared" si="4"/>
        <v>2.5109991557439816E-8</v>
      </c>
      <c r="G5" s="12">
        <f t="shared" si="5"/>
        <v>5.7752980582111576E-6</v>
      </c>
      <c r="H5" s="11">
        <f t="shared" si="6"/>
        <v>0.20953599941409198</v>
      </c>
      <c r="W5" s="1">
        <f t="shared" ref="W5:W68" si="7">W4+5</f>
        <v>-190</v>
      </c>
      <c r="X5" s="1">
        <f t="shared" si="0"/>
        <v>5.6027964375372678E-9</v>
      </c>
      <c r="Y5" s="1">
        <f t="shared" si="1"/>
        <v>1.2886431806335715E-6</v>
      </c>
    </row>
    <row r="6" spans="1:25" x14ac:dyDescent="0.25">
      <c r="D6" s="8">
        <f t="shared" si="2"/>
        <v>-150</v>
      </c>
      <c r="E6" s="8">
        <f t="shared" si="3"/>
        <v>0.56870332602598239</v>
      </c>
      <c r="F6" s="12">
        <f t="shared" si="4"/>
        <v>3.0590232050182579E-7</v>
      </c>
      <c r="G6" s="12">
        <f t="shared" si="5"/>
        <v>7.0357533715419927E-5</v>
      </c>
      <c r="H6" s="11">
        <f t="shared" si="6"/>
        <v>0.56863296849226697</v>
      </c>
      <c r="W6" s="1">
        <f t="shared" si="7"/>
        <v>-185</v>
      </c>
      <c r="X6" s="1">
        <f t="shared" si="0"/>
        <v>9.2374496619705944E-9</v>
      </c>
      <c r="Y6" s="1">
        <f t="shared" si="1"/>
        <v>2.1246134222532367E-6</v>
      </c>
    </row>
    <row r="7" spans="1:25" x14ac:dyDescent="0.25">
      <c r="D7" s="8">
        <f t="shared" si="2"/>
        <v>-125</v>
      </c>
      <c r="E7" s="8">
        <f t="shared" si="3"/>
        <v>1.539355712585504</v>
      </c>
      <c r="F7" s="12">
        <f t="shared" si="4"/>
        <v>3.7266531720786705E-6</v>
      </c>
      <c r="G7" s="12">
        <f t="shared" si="5"/>
        <v>8.5713022957809417E-4</v>
      </c>
      <c r="H7" s="11">
        <f t="shared" si="6"/>
        <v>1.5384985823559258</v>
      </c>
      <c r="W7" s="1">
        <f t="shared" si="7"/>
        <v>-180</v>
      </c>
      <c r="X7" s="1">
        <f t="shared" si="0"/>
        <v>1.5229979744712629E-8</v>
      </c>
      <c r="Y7" s="1">
        <f t="shared" si="1"/>
        <v>3.5028953412839046E-6</v>
      </c>
    </row>
    <row r="8" spans="1:25" x14ac:dyDescent="0.25">
      <c r="D8" s="8">
        <f t="shared" si="2"/>
        <v>-100</v>
      </c>
      <c r="E8" s="8">
        <f t="shared" si="3"/>
        <v>4.1368282912810486</v>
      </c>
      <c r="F8" s="12">
        <f t="shared" si="4"/>
        <v>4.5399929762484847E-5</v>
      </c>
      <c r="G8" s="12">
        <f t="shared" si="5"/>
        <v>1.0441983845371514E-2</v>
      </c>
      <c r="H8" s="11">
        <f t="shared" si="6"/>
        <v>4.126386307435677</v>
      </c>
      <c r="W8" s="1">
        <f t="shared" si="7"/>
        <v>-175</v>
      </c>
      <c r="X8" s="1">
        <f t="shared" si="0"/>
        <v>2.5109991557439816E-8</v>
      </c>
      <c r="Y8" s="1">
        <f t="shared" si="1"/>
        <v>5.7752980582111576E-6</v>
      </c>
    </row>
    <row r="9" spans="1:25" x14ac:dyDescent="0.25">
      <c r="D9" s="8">
        <f t="shared" si="2"/>
        <v>-75</v>
      </c>
      <c r="E9" s="8">
        <f t="shared" si="3"/>
        <v>10.907950830840363</v>
      </c>
      <c r="F9" s="12">
        <f t="shared" si="4"/>
        <v>5.5308437014783363E-4</v>
      </c>
      <c r="G9" s="12">
        <f t="shared" si="5"/>
        <v>0.12720940513400172</v>
      </c>
      <c r="H9" s="11">
        <f t="shared" si="6"/>
        <v>10.780741425706362</v>
      </c>
      <c r="W9" s="1">
        <f t="shared" si="7"/>
        <v>-170</v>
      </c>
      <c r="X9" s="1">
        <f t="shared" si="0"/>
        <v>4.1399377187851668E-8</v>
      </c>
      <c r="Y9" s="1">
        <f t="shared" si="1"/>
        <v>9.5218567532058836E-6</v>
      </c>
    </row>
    <row r="10" spans="1:25" x14ac:dyDescent="0.25">
      <c r="D10" s="8">
        <f t="shared" si="2"/>
        <v>-50</v>
      </c>
      <c r="E10" s="8">
        <f t="shared" si="3"/>
        <v>27.416672065087042</v>
      </c>
      <c r="F10" s="12">
        <f t="shared" si="4"/>
        <v>6.737946999085467E-3</v>
      </c>
      <c r="G10" s="12">
        <f t="shared" si="5"/>
        <v>1.5497278097896574</v>
      </c>
      <c r="H10" s="11">
        <f t="shared" si="6"/>
        <v>25.866944255297383</v>
      </c>
      <c r="W10" s="1">
        <f t="shared" si="7"/>
        <v>-165</v>
      </c>
      <c r="X10" s="1">
        <f t="shared" si="0"/>
        <v>6.8256033763348699E-8</v>
      </c>
      <c r="Y10" s="1">
        <f t="shared" si="1"/>
        <v>1.5698887765570202E-5</v>
      </c>
    </row>
    <row r="11" spans="1:25" x14ac:dyDescent="0.25">
      <c r="D11" s="8">
        <f t="shared" si="2"/>
        <v>-25</v>
      </c>
      <c r="E11" s="8">
        <f t="shared" si="3"/>
        <v>61.856526915098875</v>
      </c>
      <c r="F11" s="12">
        <f t="shared" si="4"/>
        <v>8.2084998623784766E-2</v>
      </c>
      <c r="G11" s="12">
        <f t="shared" si="5"/>
        <v>18.879549683470497</v>
      </c>
      <c r="H11" s="11">
        <f t="shared" si="6"/>
        <v>42.976977231628382</v>
      </c>
      <c r="W11" s="1">
        <f t="shared" si="7"/>
        <v>-160</v>
      </c>
      <c r="X11" s="1">
        <f t="shared" si="0"/>
        <v>1.1253517471925912E-7</v>
      </c>
      <c r="Y11" s="1">
        <f t="shared" si="1"/>
        <v>2.5883090185429595E-5</v>
      </c>
    </row>
    <row r="12" spans="1:25" x14ac:dyDescent="0.25">
      <c r="D12" s="8">
        <f t="shared" si="2"/>
        <v>-5</v>
      </c>
      <c r="E12" s="8">
        <f t="shared" si="3"/>
        <v>103.53818061813008</v>
      </c>
      <c r="F12" s="12">
        <f t="shared" si="4"/>
        <v>0.606123489967341</v>
      </c>
      <c r="G12" s="12">
        <f t="shared" si="5"/>
        <v>139.40840269248844</v>
      </c>
      <c r="H12" s="11">
        <f t="shared" si="6"/>
        <v>-35.870222074358352</v>
      </c>
      <c r="W12" s="1">
        <f t="shared" si="7"/>
        <v>-155</v>
      </c>
      <c r="X12" s="1">
        <f t="shared" si="0"/>
        <v>1.8553913626159784E-7</v>
      </c>
      <c r="Y12" s="1">
        <f t="shared" si="1"/>
        <v>4.2674001340167504E-5</v>
      </c>
    </row>
    <row r="13" spans="1:25" x14ac:dyDescent="0.25">
      <c r="D13" s="8">
        <f t="shared" si="2"/>
        <v>0</v>
      </c>
      <c r="E13" s="8">
        <f t="shared" si="3"/>
        <v>115</v>
      </c>
      <c r="F13" s="12">
        <f t="shared" si="4"/>
        <v>0.93303299153680741</v>
      </c>
      <c r="G13" s="12">
        <f t="shared" si="5"/>
        <v>214.5975880534657</v>
      </c>
      <c r="H13" s="11">
        <f t="shared" si="6"/>
        <v>-99.597588053465699</v>
      </c>
      <c r="W13" s="1">
        <f t="shared" si="7"/>
        <v>-150</v>
      </c>
      <c r="X13" s="1">
        <f t="shared" si="0"/>
        <v>3.0590232050182579E-7</v>
      </c>
      <c r="Y13" s="1">
        <f t="shared" si="1"/>
        <v>7.0357533715419927E-5</v>
      </c>
    </row>
    <row r="14" spans="1:25" x14ac:dyDescent="0.25">
      <c r="D14" s="8">
        <f t="shared" si="2"/>
        <v>5</v>
      </c>
      <c r="E14" s="8">
        <f t="shared" si="3"/>
        <v>126.46181938186992</v>
      </c>
      <c r="F14" s="12">
        <f t="shared" si="4"/>
        <v>0.99932869058015072</v>
      </c>
      <c r="G14" s="12">
        <f t="shared" si="5"/>
        <v>229.84559883343468</v>
      </c>
      <c r="H14" s="11">
        <f t="shared" si="6"/>
        <v>-103.38377945156476</v>
      </c>
      <c r="W14" s="1">
        <f t="shared" si="7"/>
        <v>-145</v>
      </c>
      <c r="X14" s="1">
        <f t="shared" si="0"/>
        <v>5.0434766256788813E-7</v>
      </c>
      <c r="Y14" s="1">
        <f t="shared" si="1"/>
        <v>1.1599996239061428E-4</v>
      </c>
    </row>
    <row r="15" spans="1:25" x14ac:dyDescent="0.25">
      <c r="D15" s="8">
        <f t="shared" si="2"/>
        <v>25</v>
      </c>
      <c r="E15" s="8">
        <f t="shared" si="3"/>
        <v>168.14347308490113</v>
      </c>
      <c r="F15" s="12">
        <f t="shared" si="4"/>
        <v>0.99999999999861111</v>
      </c>
      <c r="G15" s="12">
        <f t="shared" si="5"/>
        <v>229.99999999968057</v>
      </c>
      <c r="H15" s="11">
        <f t="shared" si="6"/>
        <v>-61.856526914779437</v>
      </c>
      <c r="W15" s="1">
        <f t="shared" si="7"/>
        <v>-140</v>
      </c>
      <c r="X15" s="1">
        <f t="shared" si="0"/>
        <v>8.3152871910356788E-7</v>
      </c>
      <c r="Y15" s="1">
        <f t="shared" si="1"/>
        <v>1.9125160539382061E-4</v>
      </c>
    </row>
    <row r="16" spans="1:25" x14ac:dyDescent="0.25">
      <c r="D16" s="8">
        <f t="shared" si="2"/>
        <v>50</v>
      </c>
      <c r="E16" s="8">
        <f t="shared" si="3"/>
        <v>202.58332793491297</v>
      </c>
      <c r="F16" s="12">
        <f t="shared" si="4"/>
        <v>1</v>
      </c>
      <c r="G16" s="12">
        <f t="shared" si="5"/>
        <v>230</v>
      </c>
      <c r="H16" s="11">
        <f t="shared" si="6"/>
        <v>-27.416672065087027</v>
      </c>
      <c r="W16" s="1">
        <f t="shared" si="7"/>
        <v>-135</v>
      </c>
      <c r="X16" s="1">
        <f t="shared" si="0"/>
        <v>1.3709590863840845E-6</v>
      </c>
      <c r="Y16" s="1">
        <f t="shared" si="1"/>
        <v>3.153205898683394E-4</v>
      </c>
    </row>
    <row r="17" spans="4:25" x14ac:dyDescent="0.25">
      <c r="D17" s="8">
        <f t="shared" si="2"/>
        <v>75</v>
      </c>
      <c r="E17" s="8">
        <f t="shared" si="3"/>
        <v>219.09204916915962</v>
      </c>
      <c r="F17" s="12">
        <f t="shared" si="4"/>
        <v>1</v>
      </c>
      <c r="G17" s="12">
        <f t="shared" si="5"/>
        <v>230</v>
      </c>
      <c r="H17" s="11">
        <f t="shared" si="6"/>
        <v>-10.907950830840377</v>
      </c>
      <c r="W17" s="1">
        <f t="shared" si="7"/>
        <v>-130</v>
      </c>
      <c r="X17" s="1">
        <f t="shared" si="0"/>
        <v>2.2603294069810542E-6</v>
      </c>
      <c r="Y17" s="1">
        <f t="shared" si="1"/>
        <v>5.1987576360564252E-4</v>
      </c>
    </row>
    <row r="18" spans="4:25" x14ac:dyDescent="0.25">
      <c r="D18" s="8">
        <f t="shared" si="2"/>
        <v>100</v>
      </c>
      <c r="E18" s="8">
        <f t="shared" si="3"/>
        <v>225.86317170871894</v>
      </c>
      <c r="F18" s="12">
        <f t="shared" si="4"/>
        <v>1</v>
      </c>
      <c r="G18" s="12">
        <f t="shared" si="5"/>
        <v>230</v>
      </c>
      <c r="H18" s="11">
        <f t="shared" si="6"/>
        <v>-4.1368282912810628</v>
      </c>
      <c r="W18" s="1">
        <f t="shared" si="7"/>
        <v>-125</v>
      </c>
      <c r="X18" s="1">
        <f t="shared" si="0"/>
        <v>3.7266531720786705E-6</v>
      </c>
      <c r="Y18" s="1">
        <f t="shared" si="1"/>
        <v>8.5713022957809417E-4</v>
      </c>
    </row>
    <row r="19" spans="4:25" x14ac:dyDescent="0.25">
      <c r="D19" s="8">
        <f t="shared" si="2"/>
        <v>125</v>
      </c>
      <c r="E19" s="8">
        <f t="shared" si="3"/>
        <v>228.46064428741448</v>
      </c>
      <c r="F19" s="12">
        <f t="shared" si="4"/>
        <v>1</v>
      </c>
      <c r="G19" s="12">
        <f t="shared" si="5"/>
        <v>230</v>
      </c>
      <c r="H19" s="11">
        <f t="shared" si="6"/>
        <v>-1.5393557125855182</v>
      </c>
      <c r="W19" s="1">
        <f t="shared" si="7"/>
        <v>-120</v>
      </c>
      <c r="X19" s="1">
        <f t="shared" si="0"/>
        <v>6.1442123533282098E-6</v>
      </c>
      <c r="Y19" s="1">
        <f t="shared" si="1"/>
        <v>1.4131688412654883E-3</v>
      </c>
    </row>
    <row r="20" spans="4:25" x14ac:dyDescent="0.25">
      <c r="D20" s="8">
        <f t="shared" si="2"/>
        <v>150</v>
      </c>
      <c r="E20" s="8">
        <f t="shared" si="3"/>
        <v>229.43129667397403</v>
      </c>
      <c r="F20" s="12">
        <f t="shared" si="4"/>
        <v>1</v>
      </c>
      <c r="G20" s="12">
        <f t="shared" si="5"/>
        <v>230</v>
      </c>
      <c r="H20" s="11">
        <f t="shared" si="6"/>
        <v>-0.56870332602596818</v>
      </c>
      <c r="W20" s="1">
        <f t="shared" si="7"/>
        <v>-115</v>
      </c>
      <c r="X20" s="1">
        <f t="shared" si="0"/>
        <v>1.0130093598630711E-5</v>
      </c>
      <c r="Y20" s="1">
        <f t="shared" si="1"/>
        <v>2.3299215276850636E-3</v>
      </c>
    </row>
    <row r="21" spans="4:25" x14ac:dyDescent="0.25">
      <c r="D21" s="8">
        <f t="shared" si="2"/>
        <v>175</v>
      </c>
      <c r="E21" s="8">
        <f t="shared" si="3"/>
        <v>229.79045822528786</v>
      </c>
      <c r="F21" s="12">
        <f t="shared" si="4"/>
        <v>1</v>
      </c>
      <c r="G21" s="12">
        <f t="shared" si="5"/>
        <v>230</v>
      </c>
      <c r="H21" s="11">
        <f t="shared" si="6"/>
        <v>-0.20954177471213598</v>
      </c>
      <c r="W21" s="1">
        <f t="shared" si="7"/>
        <v>-110</v>
      </c>
      <c r="X21" s="1">
        <f t="shared" si="0"/>
        <v>1.6701700790245659E-5</v>
      </c>
      <c r="Y21" s="1">
        <f t="shared" si="1"/>
        <v>3.8413911817565018E-3</v>
      </c>
    </row>
    <row r="22" spans="4:25" x14ac:dyDescent="0.25">
      <c r="D22" s="8">
        <f t="shared" si="2"/>
        <v>200</v>
      </c>
      <c r="E22" s="8">
        <f t="shared" si="3"/>
        <v>229.92286946999269</v>
      </c>
      <c r="F22" s="12">
        <f t="shared" si="4"/>
        <v>1</v>
      </c>
      <c r="G22" s="12">
        <f t="shared" si="5"/>
        <v>230</v>
      </c>
      <c r="H22" s="11">
        <f t="shared" si="6"/>
        <v>-7.7130530007309517E-2</v>
      </c>
      <c r="W22" s="1">
        <f t="shared" si="7"/>
        <v>-105</v>
      </c>
      <c r="X22" s="1">
        <f t="shared" si="0"/>
        <v>2.7536449349747158E-5</v>
      </c>
      <c r="Y22" s="1">
        <f t="shared" si="1"/>
        <v>6.3333833504418463E-3</v>
      </c>
    </row>
    <row r="23" spans="4:25" x14ac:dyDescent="0.25">
      <c r="D23" s="8" t="e">
        <f t="shared" si="2"/>
        <v>#N/A</v>
      </c>
      <c r="E23" s="8" t="e">
        <f t="shared" si="3"/>
        <v>#N/A</v>
      </c>
      <c r="F23" s="12" t="str">
        <f t="shared" si="4"/>
        <v/>
      </c>
      <c r="G23" s="12" t="str">
        <f t="shared" si="5"/>
        <v/>
      </c>
      <c r="H23" s="11" t="str">
        <f t="shared" si="6"/>
        <v/>
      </c>
      <c r="W23" s="1">
        <f t="shared" si="7"/>
        <v>-100</v>
      </c>
      <c r="X23" s="1">
        <f t="shared" si="0"/>
        <v>4.5399929762484847E-5</v>
      </c>
      <c r="Y23" s="1">
        <f t="shared" si="1"/>
        <v>1.0441983845371514E-2</v>
      </c>
    </row>
    <row r="24" spans="4:25" x14ac:dyDescent="0.25">
      <c r="D24" s="8" t="e">
        <f t="shared" si="2"/>
        <v>#N/A</v>
      </c>
      <c r="E24" s="8" t="e">
        <f t="shared" si="3"/>
        <v>#N/A</v>
      </c>
      <c r="F24" s="12" t="str">
        <f t="shared" si="4"/>
        <v/>
      </c>
      <c r="G24" s="12" t="str">
        <f t="shared" si="5"/>
        <v/>
      </c>
      <c r="H24" s="11" t="str">
        <f t="shared" si="6"/>
        <v/>
      </c>
      <c r="W24" s="1">
        <f t="shared" si="7"/>
        <v>-95</v>
      </c>
      <c r="X24" s="1">
        <f t="shared" si="0"/>
        <v>7.4851829887700585E-5</v>
      </c>
      <c r="Y24" s="1">
        <f t="shared" si="1"/>
        <v>1.7215920874171134E-2</v>
      </c>
    </row>
    <row r="25" spans="4:25" x14ac:dyDescent="0.25">
      <c r="D25" s="8" t="e">
        <f t="shared" si="2"/>
        <v>#N/A</v>
      </c>
      <c r="E25" s="8" t="e">
        <f t="shared" si="3"/>
        <v>#N/A</v>
      </c>
      <c r="F25" s="12" t="str">
        <f t="shared" si="4"/>
        <v/>
      </c>
      <c r="G25" s="12" t="str">
        <f t="shared" si="5"/>
        <v/>
      </c>
      <c r="H25" s="11" t="str">
        <f t="shared" si="6"/>
        <v/>
      </c>
      <c r="W25" s="1">
        <f t="shared" si="7"/>
        <v>-90</v>
      </c>
      <c r="X25" s="1">
        <f t="shared" si="0"/>
        <v>1.2340980408667953E-4</v>
      </c>
      <c r="Y25" s="1">
        <f t="shared" si="1"/>
        <v>2.8384254939936293E-2</v>
      </c>
    </row>
    <row r="26" spans="4:25" x14ac:dyDescent="0.25">
      <c r="D26" s="8" t="e">
        <f t="shared" si="2"/>
        <v>#N/A</v>
      </c>
      <c r="E26" s="8" t="e">
        <f t="shared" si="3"/>
        <v>#N/A</v>
      </c>
      <c r="F26" s="12" t="str">
        <f t="shared" si="4"/>
        <v/>
      </c>
      <c r="G26" s="12" t="str">
        <f t="shared" si="5"/>
        <v/>
      </c>
      <c r="H26" s="11" t="str">
        <f t="shared" si="6"/>
        <v/>
      </c>
      <c r="W26" s="1">
        <f t="shared" si="7"/>
        <v>-85</v>
      </c>
      <c r="X26" s="1">
        <f t="shared" si="0"/>
        <v>2.0346836901064417E-4</v>
      </c>
      <c r="Y26" s="1">
        <f t="shared" si="1"/>
        <v>4.6797724872448161E-2</v>
      </c>
    </row>
    <row r="27" spans="4:25" x14ac:dyDescent="0.25">
      <c r="D27" s="8" t="e">
        <f t="shared" si="2"/>
        <v>#N/A</v>
      </c>
      <c r="E27" s="8" t="e">
        <f t="shared" si="3"/>
        <v>#N/A</v>
      </c>
      <c r="F27" s="12" t="str">
        <f t="shared" si="4"/>
        <v/>
      </c>
      <c r="G27" s="12" t="str">
        <f t="shared" si="5"/>
        <v/>
      </c>
      <c r="H27" s="11" t="str">
        <f t="shared" si="6"/>
        <v/>
      </c>
      <c r="W27" s="1">
        <f t="shared" si="7"/>
        <v>-80</v>
      </c>
      <c r="X27" s="1">
        <f t="shared" si="0"/>
        <v>3.3546262790251185E-4</v>
      </c>
      <c r="Y27" s="1">
        <f t="shared" si="1"/>
        <v>7.715640441757772E-2</v>
      </c>
    </row>
    <row r="28" spans="4:25" x14ac:dyDescent="0.25">
      <c r="D28" s="8" t="e">
        <f t="shared" si="2"/>
        <v>#N/A</v>
      </c>
      <c r="E28" s="8" t="e">
        <f t="shared" si="3"/>
        <v>#N/A</v>
      </c>
      <c r="F28" s="12" t="str">
        <f t="shared" si="4"/>
        <v/>
      </c>
      <c r="G28" s="12" t="str">
        <f t="shared" si="5"/>
        <v/>
      </c>
      <c r="H28" s="11" t="str">
        <f t="shared" si="6"/>
        <v/>
      </c>
      <c r="W28" s="1">
        <f t="shared" si="7"/>
        <v>-75</v>
      </c>
      <c r="X28" s="1">
        <f t="shared" si="0"/>
        <v>5.5308437014783363E-4</v>
      </c>
      <c r="Y28" s="1">
        <f t="shared" si="1"/>
        <v>0.12720940513400172</v>
      </c>
    </row>
    <row r="29" spans="4:25" x14ac:dyDescent="0.25">
      <c r="D29" s="8" t="e">
        <f t="shared" si="2"/>
        <v>#N/A</v>
      </c>
      <c r="E29" s="8" t="e">
        <f t="shared" si="3"/>
        <v>#N/A</v>
      </c>
      <c r="F29" s="12" t="str">
        <f t="shared" si="4"/>
        <v/>
      </c>
      <c r="G29" s="12" t="str">
        <f t="shared" si="5"/>
        <v/>
      </c>
      <c r="H29" s="11" t="str">
        <f t="shared" si="6"/>
        <v/>
      </c>
      <c r="W29" s="1">
        <f t="shared" si="7"/>
        <v>-70</v>
      </c>
      <c r="X29" s="1">
        <f t="shared" si="0"/>
        <v>9.1188196555451624E-4</v>
      </c>
      <c r="Y29" s="1">
        <f t="shared" si="1"/>
        <v>0.20973285207753872</v>
      </c>
    </row>
    <row r="30" spans="4:25" x14ac:dyDescent="0.25">
      <c r="D30" s="8" t="e">
        <f t="shared" si="2"/>
        <v>#N/A</v>
      </c>
      <c r="E30" s="8" t="e">
        <f t="shared" si="3"/>
        <v>#N/A</v>
      </c>
      <c r="F30" s="12" t="str">
        <f t="shared" si="4"/>
        <v/>
      </c>
      <c r="G30" s="12" t="str">
        <f t="shared" si="5"/>
        <v/>
      </c>
      <c r="H30" s="11" t="str">
        <f t="shared" si="6"/>
        <v/>
      </c>
      <c r="W30" s="1">
        <f t="shared" si="7"/>
        <v>-65</v>
      </c>
      <c r="X30" s="1">
        <f t="shared" si="0"/>
        <v>1.5034391929775726E-3</v>
      </c>
      <c r="Y30" s="1">
        <f t="shared" si="1"/>
        <v>0.34579101438484172</v>
      </c>
    </row>
    <row r="31" spans="4:25" x14ac:dyDescent="0.25">
      <c r="D31" s="8" t="e">
        <f t="shared" si="2"/>
        <v>#N/A</v>
      </c>
      <c r="E31" s="8" t="e">
        <f t="shared" si="3"/>
        <v>#N/A</v>
      </c>
      <c r="F31" s="12" t="str">
        <f t="shared" si="4"/>
        <v/>
      </c>
      <c r="G31" s="12" t="str">
        <f t="shared" si="5"/>
        <v/>
      </c>
      <c r="H31" s="11" t="str">
        <f t="shared" si="6"/>
        <v/>
      </c>
      <c r="W31" s="1">
        <f t="shared" si="7"/>
        <v>-60</v>
      </c>
      <c r="X31" s="1">
        <f t="shared" si="0"/>
        <v>2.4787521766663585E-3</v>
      </c>
      <c r="Y31" s="1">
        <f t="shared" si="1"/>
        <v>0.57011300063326242</v>
      </c>
    </row>
    <row r="32" spans="4:25" x14ac:dyDescent="0.25">
      <c r="D32" s="8" t="e">
        <f t="shared" si="2"/>
        <v>#N/A</v>
      </c>
      <c r="E32" s="8" t="e">
        <f t="shared" si="3"/>
        <v>#N/A</v>
      </c>
      <c r="F32" s="12" t="str">
        <f t="shared" si="4"/>
        <v/>
      </c>
      <c r="G32" s="12" t="str">
        <f t="shared" si="5"/>
        <v/>
      </c>
      <c r="H32" s="11" t="str">
        <f t="shared" si="6"/>
        <v/>
      </c>
      <c r="W32" s="1">
        <f t="shared" si="7"/>
        <v>-55</v>
      </c>
      <c r="X32" s="1">
        <f t="shared" si="0"/>
        <v>4.0867714384640675E-3</v>
      </c>
      <c r="Y32" s="1">
        <f t="shared" si="1"/>
        <v>0.93995743084673555</v>
      </c>
    </row>
    <row r="33" spans="1:25" x14ac:dyDescent="0.25">
      <c r="D33" s="8" t="e">
        <f t="shared" si="2"/>
        <v>#N/A</v>
      </c>
      <c r="E33" s="8" t="e">
        <f t="shared" si="3"/>
        <v>#N/A</v>
      </c>
      <c r="F33" s="12" t="str">
        <f t="shared" si="4"/>
        <v/>
      </c>
      <c r="G33" s="12" t="str">
        <f t="shared" si="5"/>
        <v/>
      </c>
      <c r="H33" s="11" t="str">
        <f t="shared" si="6"/>
        <v/>
      </c>
      <c r="W33" s="1">
        <f t="shared" si="7"/>
        <v>-50</v>
      </c>
      <c r="X33" s="1">
        <f t="shared" si="0"/>
        <v>6.737946999085467E-3</v>
      </c>
      <c r="Y33" s="1">
        <f t="shared" si="1"/>
        <v>1.5497278097896574</v>
      </c>
    </row>
    <row r="34" spans="1:25" x14ac:dyDescent="0.25">
      <c r="D34" s="8" t="e">
        <f t="shared" si="2"/>
        <v>#N/A</v>
      </c>
      <c r="E34" s="8" t="e">
        <f t="shared" si="3"/>
        <v>#N/A</v>
      </c>
      <c r="F34" s="12" t="str">
        <f t="shared" si="4"/>
        <v/>
      </c>
      <c r="G34" s="12" t="str">
        <f t="shared" si="5"/>
        <v/>
      </c>
      <c r="H34" s="11" t="str">
        <f t="shared" si="6"/>
        <v/>
      </c>
      <c r="W34" s="1">
        <f t="shared" si="7"/>
        <v>-45</v>
      </c>
      <c r="X34" s="1">
        <f t="shared" si="0"/>
        <v>1.1108996538242306E-2</v>
      </c>
      <c r="Y34" s="1">
        <f t="shared" si="1"/>
        <v>2.5550692037957305</v>
      </c>
    </row>
    <row r="35" spans="1:25" x14ac:dyDescent="0.25">
      <c r="D35" s="29" t="e">
        <f t="shared" si="2"/>
        <v>#N/A</v>
      </c>
      <c r="E35" s="29" t="e">
        <f t="shared" si="3"/>
        <v>#N/A</v>
      </c>
      <c r="F35" s="12" t="str">
        <f t="shared" si="4"/>
        <v/>
      </c>
      <c r="G35" s="12" t="str">
        <f t="shared" si="5"/>
        <v/>
      </c>
      <c r="H35" s="11" t="str">
        <f t="shared" si="6"/>
        <v/>
      </c>
      <c r="W35" s="1">
        <f t="shared" si="7"/>
        <v>-40</v>
      </c>
      <c r="X35" s="1">
        <f t="shared" ref="X35:X66" si="8">(1+EXP(-k*($W35-T0_Burr)))^(-m)</f>
        <v>1.8315638888734182E-2</v>
      </c>
      <c r="Y35" s="1">
        <f t="shared" ref="Y35:Y66" si="9">LS+(US-LS)*$X35</f>
        <v>4.2125969444088618</v>
      </c>
    </row>
    <row r="36" spans="1:25" x14ac:dyDescent="0.25">
      <c r="A36" s="5" t="s">
        <v>0</v>
      </c>
      <c r="W36" s="1">
        <f t="shared" si="7"/>
        <v>-35</v>
      </c>
      <c r="X36" s="1">
        <f t="shared" si="8"/>
        <v>3.0197383422318504E-2</v>
      </c>
      <c r="Y36" s="1">
        <f t="shared" si="9"/>
        <v>6.9453981871332564</v>
      </c>
    </row>
    <row r="37" spans="1:25" ht="15.75" thickBot="1" x14ac:dyDescent="0.3">
      <c r="W37" s="1">
        <f t="shared" si="7"/>
        <v>-30</v>
      </c>
      <c r="X37" s="1">
        <f t="shared" si="8"/>
        <v>4.9787068367863473E-2</v>
      </c>
      <c r="Y37" s="1">
        <f t="shared" si="9"/>
        <v>11.451025724608598</v>
      </c>
    </row>
    <row r="38" spans="1:25" ht="15.75" thickBot="1" x14ac:dyDescent="0.3">
      <c r="A38" s="2" t="s">
        <v>10</v>
      </c>
      <c r="B38" s="7">
        <f>LS</f>
        <v>0</v>
      </c>
      <c r="C38" s="4" t="s">
        <v>1</v>
      </c>
      <c r="D38" s="13" t="s">
        <v>18</v>
      </c>
      <c r="E38" s="30">
        <f>T0_Burr-LN((0.5^(-1/m))-1)/k</f>
        <v>-6.9304947659516261</v>
      </c>
      <c r="F38" s="15" t="s">
        <v>4</v>
      </c>
      <c r="W38" s="1">
        <f>W37+5</f>
        <v>-25</v>
      </c>
      <c r="X38" s="1">
        <f t="shared" si="8"/>
        <v>8.2084998623784766E-2</v>
      </c>
      <c r="Y38" s="1">
        <f t="shared" si="9"/>
        <v>18.879549683470497</v>
      </c>
    </row>
    <row r="39" spans="1:25" x14ac:dyDescent="0.25">
      <c r="A39" s="2" t="s">
        <v>11</v>
      </c>
      <c r="B39" s="7">
        <f>US</f>
        <v>230</v>
      </c>
      <c r="C39" s="4" t="s">
        <v>1</v>
      </c>
      <c r="D39" s="27" t="s">
        <v>28</v>
      </c>
      <c r="E39" s="28">
        <f>SQRT(SUMSQ(Residuals_BURR)/(COUNT(Y_values)-3))</f>
        <v>42.766382052314839</v>
      </c>
      <c r="F39" s="11"/>
      <c r="G39" s="11">
        <f>DBTT_Burr</f>
        <v>-6.9304947659516261</v>
      </c>
      <c r="H39" s="11">
        <v>0</v>
      </c>
      <c r="W39" s="1">
        <f t="shared" si="7"/>
        <v>-20</v>
      </c>
      <c r="X39" s="1">
        <f t="shared" si="8"/>
        <v>0.13533528320871799</v>
      </c>
      <c r="Y39" s="1">
        <f t="shared" si="9"/>
        <v>31.127115138005138</v>
      </c>
    </row>
    <row r="40" spans="1:25" x14ac:dyDescent="0.25">
      <c r="E40" s="10">
        <f>(LS+US)/2</f>
        <v>115</v>
      </c>
      <c r="F40" s="12">
        <f>ABS(E39-E40)</f>
        <v>72.233617947685161</v>
      </c>
      <c r="G40" s="11">
        <f>DBTT_Burr</f>
        <v>-6.9304947659516261</v>
      </c>
      <c r="H40" s="31">
        <f>E40</f>
        <v>115</v>
      </c>
      <c r="W40" s="1">
        <f t="shared" si="7"/>
        <v>-15</v>
      </c>
      <c r="X40" s="1">
        <f t="shared" si="8"/>
        <v>0.2231301533228276</v>
      </c>
      <c r="Y40" s="1">
        <f t="shared" si="9"/>
        <v>51.319935264250347</v>
      </c>
    </row>
    <row r="41" spans="1:25" x14ac:dyDescent="0.25">
      <c r="W41" s="1">
        <f t="shared" si="7"/>
        <v>-10</v>
      </c>
      <c r="X41" s="1">
        <f t="shared" si="8"/>
        <v>0.36787777104306602</v>
      </c>
      <c r="Y41" s="1">
        <f t="shared" si="9"/>
        <v>84.611887339905181</v>
      </c>
    </row>
    <row r="42" spans="1:25" x14ac:dyDescent="0.25">
      <c r="A42" s="5" t="s">
        <v>2</v>
      </c>
      <c r="B42" s="2" t="s">
        <v>3</v>
      </c>
      <c r="C42" s="36">
        <v>1</v>
      </c>
      <c r="D42" s="4" t="s">
        <v>14</v>
      </c>
      <c r="E42" s="4"/>
      <c r="F42" s="4"/>
      <c r="W42" s="1">
        <f t="shared" si="7"/>
        <v>-5</v>
      </c>
      <c r="X42" s="1">
        <f t="shared" si="8"/>
        <v>0.606123489967341</v>
      </c>
      <c r="Y42" s="1">
        <f t="shared" si="9"/>
        <v>139.40840269248844</v>
      </c>
    </row>
    <row r="43" spans="1:25" ht="18" x14ac:dyDescent="0.35">
      <c r="B43" s="2" t="s">
        <v>6</v>
      </c>
      <c r="C43" s="37">
        <v>0</v>
      </c>
      <c r="D43" s="4" t="s">
        <v>4</v>
      </c>
      <c r="E43" s="4"/>
      <c r="F43" s="4"/>
      <c r="W43" s="1">
        <f t="shared" si="7"/>
        <v>0</v>
      </c>
      <c r="X43" s="1">
        <f t="shared" si="8"/>
        <v>0.93303299153680741</v>
      </c>
      <c r="Y43" s="1">
        <f t="shared" si="9"/>
        <v>214.5975880534657</v>
      </c>
    </row>
    <row r="44" spans="1:25" x14ac:dyDescent="0.25">
      <c r="B44" s="2" t="s">
        <v>5</v>
      </c>
      <c r="C44" s="36">
        <v>0.1</v>
      </c>
      <c r="D44" s="4" t="s">
        <v>14</v>
      </c>
      <c r="E44" s="4"/>
      <c r="F44" s="4"/>
      <c r="W44" s="1">
        <f t="shared" si="7"/>
        <v>5</v>
      </c>
      <c r="X44" s="1">
        <f t="shared" si="8"/>
        <v>0.99932869058015072</v>
      </c>
      <c r="Y44" s="1">
        <f t="shared" si="9"/>
        <v>229.84559883343468</v>
      </c>
    </row>
    <row r="45" spans="1:25" x14ac:dyDescent="0.25">
      <c r="W45" s="1">
        <f t="shared" si="7"/>
        <v>10</v>
      </c>
      <c r="X45" s="1">
        <f t="shared" si="8"/>
        <v>0.99999546012038354</v>
      </c>
      <c r="Y45" s="1">
        <f t="shared" si="9"/>
        <v>229.99895582768821</v>
      </c>
    </row>
    <row r="46" spans="1:25" x14ac:dyDescent="0.25">
      <c r="W46" s="1">
        <f t="shared" si="7"/>
        <v>15</v>
      </c>
      <c r="X46" s="1">
        <f t="shared" si="8"/>
        <v>0.99999996940977298</v>
      </c>
      <c r="Y46" s="1">
        <f t="shared" si="9"/>
        <v>229.99999296424778</v>
      </c>
    </row>
    <row r="47" spans="1:25" x14ac:dyDescent="0.25">
      <c r="W47" s="1">
        <f t="shared" si="7"/>
        <v>20</v>
      </c>
      <c r="X47" s="1">
        <f t="shared" si="8"/>
        <v>0.99999999979388465</v>
      </c>
      <c r="Y47" s="1">
        <f t="shared" si="9"/>
        <v>229.99999995259347</v>
      </c>
    </row>
    <row r="48" spans="1:25" x14ac:dyDescent="0.25">
      <c r="W48" s="1">
        <f t="shared" si="7"/>
        <v>25</v>
      </c>
      <c r="X48" s="1">
        <f t="shared" si="8"/>
        <v>0.99999999999861111</v>
      </c>
      <c r="Y48" s="1">
        <f t="shared" si="9"/>
        <v>229.99999999968057</v>
      </c>
    </row>
    <row r="49" spans="23:25" x14ac:dyDescent="0.25">
      <c r="W49" s="1">
        <f t="shared" si="7"/>
        <v>30</v>
      </c>
      <c r="X49" s="1">
        <f t="shared" si="8"/>
        <v>0.99999999999999067</v>
      </c>
      <c r="Y49" s="1">
        <f t="shared" si="9"/>
        <v>229.99999999999787</v>
      </c>
    </row>
    <row r="50" spans="23:25" x14ac:dyDescent="0.25">
      <c r="W50" s="1">
        <f t="shared" si="7"/>
        <v>35</v>
      </c>
      <c r="X50" s="1">
        <f t="shared" si="8"/>
        <v>1</v>
      </c>
      <c r="Y50" s="1">
        <f t="shared" si="9"/>
        <v>230</v>
      </c>
    </row>
    <row r="51" spans="23:25" x14ac:dyDescent="0.25">
      <c r="W51" s="1">
        <f t="shared" si="7"/>
        <v>40</v>
      </c>
      <c r="X51" s="1">
        <f t="shared" si="8"/>
        <v>1</v>
      </c>
      <c r="Y51" s="1">
        <f t="shared" si="9"/>
        <v>230</v>
      </c>
    </row>
    <row r="52" spans="23:25" x14ac:dyDescent="0.25">
      <c r="W52" s="1">
        <f t="shared" si="7"/>
        <v>45</v>
      </c>
      <c r="X52" s="1">
        <f t="shared" si="8"/>
        <v>1</v>
      </c>
      <c r="Y52" s="1">
        <f t="shared" si="9"/>
        <v>230</v>
      </c>
    </row>
    <row r="53" spans="23:25" x14ac:dyDescent="0.25">
      <c r="W53" s="1">
        <f t="shared" si="7"/>
        <v>50</v>
      </c>
      <c r="X53" s="1">
        <f t="shared" si="8"/>
        <v>1</v>
      </c>
      <c r="Y53" s="1">
        <f t="shared" si="9"/>
        <v>230</v>
      </c>
    </row>
    <row r="54" spans="23:25" x14ac:dyDescent="0.25">
      <c r="W54" s="1">
        <f t="shared" si="7"/>
        <v>55</v>
      </c>
      <c r="X54" s="1">
        <f t="shared" si="8"/>
        <v>1</v>
      </c>
      <c r="Y54" s="1">
        <f t="shared" si="9"/>
        <v>230</v>
      </c>
    </row>
    <row r="55" spans="23:25" x14ac:dyDescent="0.25">
      <c r="W55" s="1">
        <f t="shared" si="7"/>
        <v>60</v>
      </c>
      <c r="X55" s="1">
        <f t="shared" si="8"/>
        <v>1</v>
      </c>
      <c r="Y55" s="1">
        <f t="shared" si="9"/>
        <v>230</v>
      </c>
    </row>
    <row r="56" spans="23:25" x14ac:dyDescent="0.25">
      <c r="W56" s="1">
        <f t="shared" si="7"/>
        <v>65</v>
      </c>
      <c r="X56" s="1">
        <f t="shared" si="8"/>
        <v>1</v>
      </c>
      <c r="Y56" s="1">
        <f t="shared" si="9"/>
        <v>230</v>
      </c>
    </row>
    <row r="57" spans="23:25" x14ac:dyDescent="0.25">
      <c r="W57" s="1">
        <f t="shared" si="7"/>
        <v>70</v>
      </c>
      <c r="X57" s="1">
        <f t="shared" si="8"/>
        <v>1</v>
      </c>
      <c r="Y57" s="1">
        <f t="shared" si="9"/>
        <v>230</v>
      </c>
    </row>
    <row r="58" spans="23:25" x14ac:dyDescent="0.25">
      <c r="W58" s="1">
        <f>W57+5</f>
        <v>75</v>
      </c>
      <c r="X58" s="1">
        <f t="shared" si="8"/>
        <v>1</v>
      </c>
      <c r="Y58" s="1">
        <f t="shared" si="9"/>
        <v>230</v>
      </c>
    </row>
    <row r="59" spans="23:25" x14ac:dyDescent="0.25">
      <c r="W59" s="1">
        <f t="shared" si="7"/>
        <v>80</v>
      </c>
      <c r="X59" s="1">
        <f t="shared" si="8"/>
        <v>1</v>
      </c>
      <c r="Y59" s="1">
        <f t="shared" si="9"/>
        <v>230</v>
      </c>
    </row>
    <row r="60" spans="23:25" x14ac:dyDescent="0.25">
      <c r="W60" s="1">
        <f t="shared" si="7"/>
        <v>85</v>
      </c>
      <c r="X60" s="1">
        <f t="shared" si="8"/>
        <v>1</v>
      </c>
      <c r="Y60" s="1">
        <f t="shared" si="9"/>
        <v>230</v>
      </c>
    </row>
    <row r="61" spans="23:25" x14ac:dyDescent="0.25">
      <c r="W61" s="1">
        <f t="shared" si="7"/>
        <v>90</v>
      </c>
      <c r="X61" s="1">
        <f t="shared" si="8"/>
        <v>1</v>
      </c>
      <c r="Y61" s="1">
        <f t="shared" si="9"/>
        <v>230</v>
      </c>
    </row>
    <row r="62" spans="23:25" x14ac:dyDescent="0.25">
      <c r="W62" s="1">
        <f t="shared" si="7"/>
        <v>95</v>
      </c>
      <c r="X62" s="1">
        <f t="shared" si="8"/>
        <v>1</v>
      </c>
      <c r="Y62" s="1">
        <f t="shared" si="9"/>
        <v>230</v>
      </c>
    </row>
    <row r="63" spans="23:25" x14ac:dyDescent="0.25">
      <c r="W63" s="1">
        <f t="shared" si="7"/>
        <v>100</v>
      </c>
      <c r="X63" s="1">
        <f t="shared" si="8"/>
        <v>1</v>
      </c>
      <c r="Y63" s="1">
        <f t="shared" si="9"/>
        <v>230</v>
      </c>
    </row>
    <row r="64" spans="23:25" x14ac:dyDescent="0.25">
      <c r="W64" s="1">
        <f t="shared" si="7"/>
        <v>105</v>
      </c>
      <c r="X64" s="1">
        <f t="shared" si="8"/>
        <v>1</v>
      </c>
      <c r="Y64" s="1">
        <f t="shared" si="9"/>
        <v>230</v>
      </c>
    </row>
    <row r="65" spans="23:25" x14ac:dyDescent="0.25">
      <c r="W65" s="1">
        <f t="shared" si="7"/>
        <v>110</v>
      </c>
      <c r="X65" s="1">
        <f t="shared" si="8"/>
        <v>1</v>
      </c>
      <c r="Y65" s="1">
        <f t="shared" si="9"/>
        <v>230</v>
      </c>
    </row>
    <row r="66" spans="23:25" x14ac:dyDescent="0.25">
      <c r="W66" s="1">
        <f t="shared" si="7"/>
        <v>115</v>
      </c>
      <c r="X66" s="1">
        <f t="shared" si="8"/>
        <v>1</v>
      </c>
      <c r="Y66" s="1">
        <f t="shared" si="9"/>
        <v>230</v>
      </c>
    </row>
    <row r="67" spans="23:25" x14ac:dyDescent="0.25">
      <c r="W67" s="1">
        <f t="shared" si="7"/>
        <v>120</v>
      </c>
      <c r="X67" s="1">
        <f t="shared" ref="X67:X103" si="10">(1+EXP(-k*($W67-T0_Burr)))^(-m)</f>
        <v>1</v>
      </c>
      <c r="Y67" s="1">
        <f t="shared" ref="Y67:Y103" si="11">LS+(US-LS)*$X67</f>
        <v>230</v>
      </c>
    </row>
    <row r="68" spans="23:25" x14ac:dyDescent="0.25">
      <c r="W68" s="1">
        <f t="shared" si="7"/>
        <v>125</v>
      </c>
      <c r="X68" s="1">
        <f t="shared" si="10"/>
        <v>1</v>
      </c>
      <c r="Y68" s="1">
        <f t="shared" si="11"/>
        <v>230</v>
      </c>
    </row>
    <row r="69" spans="23:25" x14ac:dyDescent="0.25">
      <c r="W69" s="1">
        <f t="shared" ref="W69:W76" si="12">W68+5</f>
        <v>130</v>
      </c>
      <c r="X69" s="1">
        <f t="shared" si="10"/>
        <v>1</v>
      </c>
      <c r="Y69" s="1">
        <f t="shared" si="11"/>
        <v>230</v>
      </c>
    </row>
    <row r="70" spans="23:25" x14ac:dyDescent="0.25">
      <c r="W70" s="1">
        <f t="shared" si="12"/>
        <v>135</v>
      </c>
      <c r="X70" s="1">
        <f t="shared" si="10"/>
        <v>1</v>
      </c>
      <c r="Y70" s="1">
        <f t="shared" si="11"/>
        <v>230</v>
      </c>
    </row>
    <row r="71" spans="23:25" x14ac:dyDescent="0.25">
      <c r="W71" s="1">
        <f t="shared" si="12"/>
        <v>140</v>
      </c>
      <c r="X71" s="1">
        <f t="shared" si="10"/>
        <v>1</v>
      </c>
      <c r="Y71" s="1">
        <f t="shared" si="11"/>
        <v>230</v>
      </c>
    </row>
    <row r="72" spans="23:25" x14ac:dyDescent="0.25">
      <c r="W72" s="1">
        <f t="shared" si="12"/>
        <v>145</v>
      </c>
      <c r="X72" s="1">
        <f t="shared" si="10"/>
        <v>1</v>
      </c>
      <c r="Y72" s="1">
        <f t="shared" si="11"/>
        <v>230</v>
      </c>
    </row>
    <row r="73" spans="23:25" x14ac:dyDescent="0.25">
      <c r="W73" s="1">
        <f t="shared" si="12"/>
        <v>150</v>
      </c>
      <c r="X73" s="1">
        <f t="shared" si="10"/>
        <v>1</v>
      </c>
      <c r="Y73" s="1">
        <f t="shared" si="11"/>
        <v>230</v>
      </c>
    </row>
    <row r="74" spans="23:25" x14ac:dyDescent="0.25">
      <c r="W74" s="1">
        <f t="shared" si="12"/>
        <v>155</v>
      </c>
      <c r="X74" s="1">
        <f t="shared" si="10"/>
        <v>1</v>
      </c>
      <c r="Y74" s="1">
        <f t="shared" si="11"/>
        <v>230</v>
      </c>
    </row>
    <row r="75" spans="23:25" x14ac:dyDescent="0.25">
      <c r="W75" s="1">
        <f t="shared" si="12"/>
        <v>160</v>
      </c>
      <c r="X75" s="1">
        <f t="shared" si="10"/>
        <v>1</v>
      </c>
      <c r="Y75" s="1">
        <f t="shared" si="11"/>
        <v>230</v>
      </c>
    </row>
    <row r="76" spans="23:25" x14ac:dyDescent="0.25">
      <c r="W76" s="1">
        <f t="shared" si="12"/>
        <v>165</v>
      </c>
      <c r="X76" s="1">
        <f t="shared" si="10"/>
        <v>1</v>
      </c>
      <c r="Y76" s="1">
        <f t="shared" si="11"/>
        <v>230</v>
      </c>
    </row>
    <row r="77" spans="23:25" x14ac:dyDescent="0.25">
      <c r="W77" s="1">
        <f>W76+5</f>
        <v>170</v>
      </c>
      <c r="X77" s="1">
        <f t="shared" si="10"/>
        <v>1</v>
      </c>
      <c r="Y77" s="1">
        <f t="shared" si="11"/>
        <v>230</v>
      </c>
    </row>
    <row r="78" spans="23:25" x14ac:dyDescent="0.25">
      <c r="W78" s="1">
        <f t="shared" ref="W78:W88" si="13">W77+5</f>
        <v>175</v>
      </c>
      <c r="X78" s="1">
        <f t="shared" si="10"/>
        <v>1</v>
      </c>
      <c r="Y78" s="1">
        <f t="shared" si="11"/>
        <v>230</v>
      </c>
    </row>
    <row r="79" spans="23:25" x14ac:dyDescent="0.25">
      <c r="W79" s="1">
        <f t="shared" si="13"/>
        <v>180</v>
      </c>
      <c r="X79" s="1">
        <f t="shared" si="10"/>
        <v>1</v>
      </c>
      <c r="Y79" s="1">
        <f t="shared" si="11"/>
        <v>230</v>
      </c>
    </row>
    <row r="80" spans="23:25" x14ac:dyDescent="0.25">
      <c r="W80" s="1">
        <f t="shared" si="13"/>
        <v>185</v>
      </c>
      <c r="X80" s="1">
        <f t="shared" si="10"/>
        <v>1</v>
      </c>
      <c r="Y80" s="1">
        <f t="shared" si="11"/>
        <v>230</v>
      </c>
    </row>
    <row r="81" spans="23:25" x14ac:dyDescent="0.25">
      <c r="W81" s="1">
        <f t="shared" si="13"/>
        <v>190</v>
      </c>
      <c r="X81" s="1">
        <f t="shared" si="10"/>
        <v>1</v>
      </c>
      <c r="Y81" s="1">
        <f t="shared" si="11"/>
        <v>230</v>
      </c>
    </row>
    <row r="82" spans="23:25" x14ac:dyDescent="0.25">
      <c r="W82" s="1">
        <f t="shared" si="13"/>
        <v>195</v>
      </c>
      <c r="X82" s="1">
        <f t="shared" si="10"/>
        <v>1</v>
      </c>
      <c r="Y82" s="1">
        <f t="shared" si="11"/>
        <v>230</v>
      </c>
    </row>
    <row r="83" spans="23:25" x14ac:dyDescent="0.25">
      <c r="W83" s="1">
        <f t="shared" si="13"/>
        <v>200</v>
      </c>
      <c r="X83" s="1">
        <f t="shared" si="10"/>
        <v>1</v>
      </c>
      <c r="Y83" s="1">
        <f t="shared" si="11"/>
        <v>230</v>
      </c>
    </row>
    <row r="84" spans="23:25" x14ac:dyDescent="0.25">
      <c r="W84" s="1">
        <f t="shared" si="13"/>
        <v>205</v>
      </c>
      <c r="X84" s="1">
        <f t="shared" si="10"/>
        <v>1</v>
      </c>
      <c r="Y84" s="1">
        <f t="shared" si="11"/>
        <v>230</v>
      </c>
    </row>
    <row r="85" spans="23:25" x14ac:dyDescent="0.25">
      <c r="W85" s="1">
        <f t="shared" si="13"/>
        <v>210</v>
      </c>
      <c r="X85" s="1">
        <f t="shared" si="10"/>
        <v>1</v>
      </c>
      <c r="Y85" s="1">
        <f t="shared" si="11"/>
        <v>230</v>
      </c>
    </row>
    <row r="86" spans="23:25" x14ac:dyDescent="0.25">
      <c r="W86" s="1">
        <f t="shared" si="13"/>
        <v>215</v>
      </c>
      <c r="X86" s="1">
        <f t="shared" si="10"/>
        <v>1</v>
      </c>
      <c r="Y86" s="1">
        <f t="shared" si="11"/>
        <v>230</v>
      </c>
    </row>
    <row r="87" spans="23:25" x14ac:dyDescent="0.25">
      <c r="W87" s="1">
        <f t="shared" si="13"/>
        <v>220</v>
      </c>
      <c r="X87" s="1">
        <f t="shared" si="10"/>
        <v>1</v>
      </c>
      <c r="Y87" s="1">
        <f t="shared" si="11"/>
        <v>230</v>
      </c>
    </row>
    <row r="88" spans="23:25" x14ac:dyDescent="0.25">
      <c r="W88" s="1">
        <f t="shared" si="13"/>
        <v>225</v>
      </c>
      <c r="X88" s="1">
        <f t="shared" si="10"/>
        <v>1</v>
      </c>
      <c r="Y88" s="1">
        <f t="shared" si="11"/>
        <v>230</v>
      </c>
    </row>
    <row r="89" spans="23:25" x14ac:dyDescent="0.25">
      <c r="W89" s="1">
        <f>W88+5</f>
        <v>230</v>
      </c>
      <c r="X89" s="1">
        <f t="shared" si="10"/>
        <v>1</v>
      </c>
      <c r="Y89" s="1">
        <f t="shared" si="11"/>
        <v>230</v>
      </c>
    </row>
    <row r="90" spans="23:25" x14ac:dyDescent="0.25">
      <c r="W90" s="1">
        <f t="shared" ref="W90:W97" si="14">W89+5</f>
        <v>235</v>
      </c>
      <c r="X90" s="1">
        <f t="shared" si="10"/>
        <v>1</v>
      </c>
      <c r="Y90" s="1">
        <f t="shared" si="11"/>
        <v>230</v>
      </c>
    </row>
    <row r="91" spans="23:25" x14ac:dyDescent="0.25">
      <c r="W91" s="1">
        <f t="shared" si="14"/>
        <v>240</v>
      </c>
      <c r="X91" s="1">
        <f t="shared" si="10"/>
        <v>1</v>
      </c>
      <c r="Y91" s="1">
        <f t="shared" si="11"/>
        <v>230</v>
      </c>
    </row>
    <row r="92" spans="23:25" x14ac:dyDescent="0.25">
      <c r="W92" s="1">
        <f t="shared" si="14"/>
        <v>245</v>
      </c>
      <c r="X92" s="1">
        <f t="shared" si="10"/>
        <v>1</v>
      </c>
      <c r="Y92" s="1">
        <f t="shared" si="11"/>
        <v>230</v>
      </c>
    </row>
    <row r="93" spans="23:25" x14ac:dyDescent="0.25">
      <c r="W93" s="1">
        <f t="shared" si="14"/>
        <v>250</v>
      </c>
      <c r="X93" s="1">
        <f t="shared" si="10"/>
        <v>1</v>
      </c>
      <c r="Y93" s="1">
        <f t="shared" si="11"/>
        <v>230</v>
      </c>
    </row>
    <row r="94" spans="23:25" x14ac:dyDescent="0.25">
      <c r="W94" s="1">
        <f t="shared" si="14"/>
        <v>255</v>
      </c>
      <c r="X94" s="1">
        <f t="shared" si="10"/>
        <v>1</v>
      </c>
      <c r="Y94" s="1">
        <f t="shared" si="11"/>
        <v>230</v>
      </c>
    </row>
    <row r="95" spans="23:25" x14ac:dyDescent="0.25">
      <c r="W95" s="1">
        <f t="shared" si="14"/>
        <v>260</v>
      </c>
      <c r="X95" s="1">
        <f t="shared" si="10"/>
        <v>1</v>
      </c>
      <c r="Y95" s="1">
        <f t="shared" si="11"/>
        <v>230</v>
      </c>
    </row>
    <row r="96" spans="23:25" x14ac:dyDescent="0.25">
      <c r="W96" s="1">
        <f t="shared" si="14"/>
        <v>265</v>
      </c>
      <c r="X96" s="1">
        <f t="shared" si="10"/>
        <v>1</v>
      </c>
      <c r="Y96" s="1">
        <f t="shared" si="11"/>
        <v>230</v>
      </c>
    </row>
    <row r="97" spans="23:25" x14ac:dyDescent="0.25">
      <c r="W97" s="1">
        <f t="shared" si="14"/>
        <v>270</v>
      </c>
      <c r="X97" s="1">
        <f t="shared" si="10"/>
        <v>1</v>
      </c>
      <c r="Y97" s="1">
        <f t="shared" si="11"/>
        <v>230</v>
      </c>
    </row>
    <row r="98" spans="23:25" x14ac:dyDescent="0.25">
      <c r="W98" s="1">
        <f>W97+5</f>
        <v>275</v>
      </c>
      <c r="X98" s="1">
        <f t="shared" si="10"/>
        <v>1</v>
      </c>
      <c r="Y98" s="1">
        <f t="shared" si="11"/>
        <v>230</v>
      </c>
    </row>
    <row r="99" spans="23:25" x14ac:dyDescent="0.25">
      <c r="W99" s="1">
        <f t="shared" ref="W99:W101" si="15">W98+5</f>
        <v>280</v>
      </c>
      <c r="X99" s="1">
        <f t="shared" si="10"/>
        <v>1</v>
      </c>
      <c r="Y99" s="1">
        <f t="shared" si="11"/>
        <v>230</v>
      </c>
    </row>
    <row r="100" spans="23:25" x14ac:dyDescent="0.25">
      <c r="W100" s="1">
        <f t="shared" si="15"/>
        <v>285</v>
      </c>
      <c r="X100" s="1">
        <f t="shared" si="10"/>
        <v>1</v>
      </c>
      <c r="Y100" s="1">
        <f t="shared" si="11"/>
        <v>230</v>
      </c>
    </row>
    <row r="101" spans="23:25" x14ac:dyDescent="0.25">
      <c r="W101" s="1">
        <f t="shared" si="15"/>
        <v>290</v>
      </c>
      <c r="X101" s="1">
        <f t="shared" si="10"/>
        <v>1</v>
      </c>
      <c r="Y101" s="1">
        <f t="shared" si="11"/>
        <v>230</v>
      </c>
    </row>
    <row r="102" spans="23:25" x14ac:dyDescent="0.25">
      <c r="W102" s="1">
        <f>W101+5</f>
        <v>295</v>
      </c>
      <c r="X102" s="1">
        <f t="shared" si="10"/>
        <v>1</v>
      </c>
      <c r="Y102" s="1">
        <f t="shared" si="11"/>
        <v>230</v>
      </c>
    </row>
    <row r="103" spans="23:25" x14ac:dyDescent="0.25">
      <c r="W103" s="1">
        <f t="shared" ref="W103" si="16">W102+5</f>
        <v>300</v>
      </c>
      <c r="X103" s="1">
        <f t="shared" si="10"/>
        <v>1</v>
      </c>
      <c r="Y103" s="1">
        <f t="shared" si="11"/>
        <v>230</v>
      </c>
    </row>
  </sheetData>
  <mergeCells count="3">
    <mergeCell ref="X1:X2"/>
    <mergeCell ref="A1:F1"/>
    <mergeCell ref="Y1:Y2"/>
  </mergeCells>
  <conditionalFormatting sqref="D4:E35">
    <cfRule type="expression" dxfId="1" priority="1">
      <formula>ISNA($D4)</formula>
    </cfRule>
  </conditionalFormatting>
  <dataValidations count="2">
    <dataValidation type="decimal" operator="greaterThanOrEqual" allowBlank="1" showInputMessage="1" showErrorMessage="1" errorTitle="ERROR" error="Negative values are not allowed" promptTitle="Negative values not allowed" sqref="C42" xr:uid="{65118487-AD9D-4CF7-916C-22442D008F61}">
      <formula1>0</formula1>
    </dataValidation>
    <dataValidation type="decimal" operator="greaterThan" allowBlank="1" showInputMessage="1" showErrorMessage="1" errorTitle="ERROR" error="Zero or negative values are not allowed" promptTitle="Zero/negative values not allowed" sqref="C44" xr:uid="{C24554B7-2FE8-4FE3-B0F7-6E6BFED3E131}">
      <formula1>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_plus">
                <anchor moveWithCells="1" sizeWithCells="1">
                  <from>
                    <xdr:col>3</xdr:col>
                    <xdr:colOff>600075</xdr:colOff>
                    <xdr:row>40</xdr:row>
                    <xdr:rowOff>180975</xdr:rowOff>
                  </from>
                  <to>
                    <xdr:col>5</xdr:col>
                    <xdr:colOff>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k_minus">
                <anchor moveWithCells="1" sizeWithCells="1">
                  <from>
                    <xdr:col>5</xdr:col>
                    <xdr:colOff>9525</xdr:colOff>
                    <xdr:row>40</xdr:row>
                    <xdr:rowOff>180975</xdr:rowOff>
                  </from>
                  <to>
                    <xdr:col>6</xdr:col>
                    <xdr:colOff>9525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0Burr_increase">
                <anchor moveWithCells="1" sizeWithCells="1">
                  <from>
                    <xdr:col>3</xdr:col>
                    <xdr:colOff>600075</xdr:colOff>
                    <xdr:row>42</xdr:row>
                    <xdr:rowOff>9525</xdr:rowOff>
                  </from>
                  <to>
                    <xdr:col>5</xdr:col>
                    <xdr:colOff>0</xdr:colOff>
                    <xdr:row>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0Burr_decrease">
                <anchor moveWithCells="1" sizeWithCells="1">
                  <from>
                    <xdr:col>5</xdr:col>
                    <xdr:colOff>0</xdr:colOff>
                    <xdr:row>42</xdr:row>
                    <xdr:rowOff>9525</xdr:rowOff>
                  </from>
                  <to>
                    <xdr:col>6</xdr:col>
                    <xdr:colOff>9525</xdr:colOff>
                    <xdr:row>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_plus">
                <anchor moveWithCells="1" sizeWithCells="1">
                  <from>
                    <xdr:col>3</xdr:col>
                    <xdr:colOff>600075</xdr:colOff>
                    <xdr:row>42</xdr:row>
                    <xdr:rowOff>219075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m_minus">
                <anchor moveWithCells="1" sizeWithCells="1">
                  <from>
                    <xdr:col>5</xdr:col>
                    <xdr:colOff>9525</xdr:colOff>
                    <xdr:row>42</xdr:row>
                    <xdr:rowOff>219075</xdr:rowOff>
                  </from>
                  <to>
                    <xdr:col>6</xdr:col>
                    <xdr:colOff>9525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m_plus">
                <anchor moveWithCells="1" sizeWithCells="1">
                  <from>
                    <xdr:col>3</xdr:col>
                    <xdr:colOff>600075</xdr:colOff>
                    <xdr:row>42</xdr:row>
                    <xdr:rowOff>180975</xdr:rowOff>
                  </from>
                  <to>
                    <xdr:col>5</xdr:col>
                    <xdr:colOff>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Reset_Burr">
                <anchor moveWithCells="1" sizeWithCells="1">
                  <from>
                    <xdr:col>6</xdr:col>
                    <xdr:colOff>238125</xdr:colOff>
                    <xdr:row>41</xdr:row>
                    <xdr:rowOff>123825</xdr:rowOff>
                  </from>
                  <to>
                    <xdr:col>7</xdr:col>
                    <xdr:colOff>257175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m_plus">
                <anchor moveWithCells="1" sizeWithCells="1">
                  <from>
                    <xdr:col>3</xdr:col>
                    <xdr:colOff>600075</xdr:colOff>
                    <xdr:row>42</xdr:row>
                    <xdr:rowOff>219075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m_plus">
                <anchor moveWithCells="1" sizeWithCells="1">
                  <from>
                    <xdr:col>3</xdr:col>
                    <xdr:colOff>600075</xdr:colOff>
                    <xdr:row>42</xdr:row>
                    <xdr:rowOff>180975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m_plus">
                <anchor moveWithCells="1" sizeWithCells="1">
                  <from>
                    <xdr:col>3</xdr:col>
                    <xdr:colOff>600075</xdr:colOff>
                    <xdr:row>40</xdr:row>
                    <xdr:rowOff>219075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m_plus">
                <anchor moveWithCells="1" sizeWithCells="1">
                  <from>
                    <xdr:col>3</xdr:col>
                    <xdr:colOff>600075</xdr:colOff>
                    <xdr:row>40</xdr:row>
                    <xdr:rowOff>180975</xdr:rowOff>
                  </from>
                  <to>
                    <xdr:col>5</xdr:col>
                    <xdr:colOff>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m_plus">
                <anchor moveWithCells="1" sizeWithCells="1">
                  <from>
                    <xdr:col>3</xdr:col>
                    <xdr:colOff>600075</xdr:colOff>
                    <xdr:row>40</xdr:row>
                    <xdr:rowOff>219075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k_plus">
                <anchor moveWithCells="1" sizeWithCells="1">
                  <from>
                    <xdr:col>3</xdr:col>
                    <xdr:colOff>600075</xdr:colOff>
                    <xdr:row>40</xdr:row>
                    <xdr:rowOff>180975</xdr:rowOff>
                  </from>
                  <to>
                    <xdr:col>5</xdr:col>
                    <xdr:colOff>0</xdr:colOff>
                    <xdr:row>41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E23DC-CD9F-4397-AAAF-478AD7A68778}">
  <sheetPr codeName="Sheet2"/>
  <dimension ref="A1:Z103"/>
  <sheetViews>
    <sheetView tabSelected="1" topLeftCell="A16" zoomScaleNormal="100" workbookViewId="0">
      <selection activeCell="D43" sqref="D43"/>
    </sheetView>
  </sheetViews>
  <sheetFormatPr defaultRowHeight="15" x14ac:dyDescent="0.25"/>
  <cols>
    <col min="23" max="23" width="9.140625" style="1"/>
    <col min="24" max="24" width="10.7109375" customWidth="1"/>
    <col min="26" max="26" width="9.140625" style="1"/>
  </cols>
  <sheetData>
    <row r="1" spans="1:26" ht="21" x14ac:dyDescent="0.35">
      <c r="A1" s="45" t="s">
        <v>19</v>
      </c>
      <c r="B1" s="45"/>
      <c r="C1" s="45"/>
      <c r="D1" s="45"/>
      <c r="E1" s="45"/>
      <c r="F1" s="45"/>
      <c r="W1" s="1" t="s">
        <v>7</v>
      </c>
      <c r="X1" s="46" t="s">
        <v>22</v>
      </c>
      <c r="Y1" s="46" t="s">
        <v>23</v>
      </c>
      <c r="Z1" s="42" t="s">
        <v>15</v>
      </c>
    </row>
    <row r="2" spans="1:26" x14ac:dyDescent="0.25">
      <c r="W2" s="1" t="s">
        <v>8</v>
      </c>
      <c r="X2" s="46"/>
      <c r="Y2" s="46"/>
      <c r="Z2" s="42"/>
    </row>
    <row r="3" spans="1:26" x14ac:dyDescent="0.25">
      <c r="B3" s="6" t="s">
        <v>13</v>
      </c>
      <c r="D3" s="9" t="s">
        <v>17</v>
      </c>
      <c r="E3" s="9" t="s">
        <v>16</v>
      </c>
      <c r="W3" s="1">
        <v>-200</v>
      </c>
      <c r="X3" s="1">
        <f t="shared" ref="X3:X34" si="0">LS+(US-LS)/(1+p)*EXP((1+p)/(2*C_Kohout)*($W3-T0_Kohout))</f>
        <v>4.8856073935853269E-16</v>
      </c>
      <c r="Y3" s="1">
        <f t="shared" ref="Y3:Y34" si="1">US-p*(US-LS)/(1+p)*EXP(-(1+p)/(2*p*C_Kohout)*($W3-T0_Kohout))</f>
        <v>-2.7069305686257299E+19</v>
      </c>
      <c r="Z3" s="1">
        <f t="shared" ref="Z3:Z34" si="2">IF($W3&lt;=T0_Kohout,$X3,$Y3)</f>
        <v>4.8856073935853269E-16</v>
      </c>
    </row>
    <row r="4" spans="1:26" x14ac:dyDescent="0.25">
      <c r="D4" s="8">
        <f t="shared" ref="D4:D35" si="3">IF(ISBLANK(Temperatures),NA(),Temperatures)</f>
        <v>-196</v>
      </c>
      <c r="E4" s="8">
        <f t="shared" ref="E4:E35" si="4">IF(ISBLANK(Y_values),NA(),Y_values)</f>
        <v>9.0508249055091028E-2</v>
      </c>
      <c r="F4" s="12">
        <f t="shared" ref="F4:F35" si="5">IF(ISBLANK(Temperatures),"",LS+(US-LS)/(1+p)*EXP((1+p)/(2*C_Kohout)*(Temperatures-T0_Kohout)))</f>
        <v>1.0873119214969523E-15</v>
      </c>
      <c r="G4" s="12">
        <f t="shared" ref="G4:G35" si="6">IF(ISBLANK(Temperatures),"",US-p*(US-LS)/(1+p)*EXP(-(1+p)/(2*p*C_Kohout)*(Temperatures-T0_Kohout)))</f>
        <v>-1.2163023083378442E+19</v>
      </c>
      <c r="H4" s="12">
        <f t="shared" ref="H4:H35" si="7">IF(ISBLANK(Temperatures),"",IF(Temperatures&lt;=T0_Kohout,Fit1_KASYM,Fit2_KASYM))</f>
        <v>1.0873119214969523E-15</v>
      </c>
      <c r="I4" s="11">
        <f t="shared" ref="I4:I35" si="8">IF(ISBLANK(Temperatures),"",Y_values-Fit_KASYM)</f>
        <v>9.0508249055089945E-2</v>
      </c>
      <c r="W4" s="1">
        <f>W3+5</f>
        <v>-195</v>
      </c>
      <c r="X4" s="1">
        <f t="shared" si="0"/>
        <v>1.3280457798968153E-15</v>
      </c>
      <c r="Y4" s="1">
        <f t="shared" si="1"/>
        <v>-9.9582410487592796E+18</v>
      </c>
      <c r="Z4" s="1">
        <f t="shared" si="2"/>
        <v>1.3280457798968153E-15</v>
      </c>
    </row>
    <row r="5" spans="1:26" x14ac:dyDescent="0.25">
      <c r="D5" s="8">
        <f t="shared" si="3"/>
        <v>-175</v>
      </c>
      <c r="E5" s="8">
        <f t="shared" si="4"/>
        <v>0.20954177471215019</v>
      </c>
      <c r="F5" s="12">
        <f t="shared" si="5"/>
        <v>7.2508842741690373E-14</v>
      </c>
      <c r="G5" s="12">
        <f t="shared" si="6"/>
        <v>-1.8239154701604432E+17</v>
      </c>
      <c r="H5" s="12">
        <f t="shared" si="7"/>
        <v>7.2508842741690373E-14</v>
      </c>
      <c r="I5" s="11">
        <f t="shared" si="8"/>
        <v>0.20954177471207769</v>
      </c>
      <c r="W5" s="1">
        <f t="shared" ref="W5:W68" si="9">W4+5</f>
        <v>-190</v>
      </c>
      <c r="X5" s="1">
        <f t="shared" si="0"/>
        <v>3.6100027108552343E-15</v>
      </c>
      <c r="Y5" s="1">
        <f t="shared" si="1"/>
        <v>-3.6634321520680822E+18</v>
      </c>
      <c r="Z5" s="1">
        <f t="shared" si="2"/>
        <v>3.6100027108552343E-15</v>
      </c>
    </row>
    <row r="6" spans="1:26" x14ac:dyDescent="0.25">
      <c r="D6" s="8">
        <f t="shared" si="3"/>
        <v>-150</v>
      </c>
      <c r="E6" s="8">
        <f t="shared" si="4"/>
        <v>0.56870332602598239</v>
      </c>
      <c r="F6" s="12">
        <f t="shared" si="5"/>
        <v>1.0761266414166201E-11</v>
      </c>
      <c r="G6" s="12">
        <f t="shared" si="6"/>
        <v>-1228944576875083.3</v>
      </c>
      <c r="H6" s="12">
        <f t="shared" si="7"/>
        <v>1.0761266414166201E-11</v>
      </c>
      <c r="I6" s="11">
        <f t="shared" si="8"/>
        <v>0.56870332601522111</v>
      </c>
      <c r="W6" s="1">
        <f t="shared" si="9"/>
        <v>-185</v>
      </c>
      <c r="X6" s="1">
        <f t="shared" si="0"/>
        <v>9.8130047696056751E-15</v>
      </c>
      <c r="Y6" s="1">
        <f t="shared" si="1"/>
        <v>-1.3477013728723E+18</v>
      </c>
      <c r="Z6" s="1">
        <f t="shared" si="2"/>
        <v>9.8130047696056751E-15</v>
      </c>
    </row>
    <row r="7" spans="1:26" x14ac:dyDescent="0.25">
      <c r="D7" s="8">
        <f t="shared" si="3"/>
        <v>-125</v>
      </c>
      <c r="E7" s="8">
        <f t="shared" si="4"/>
        <v>1.539355712585504</v>
      </c>
      <c r="F7" s="12">
        <f t="shared" si="5"/>
        <v>1.5971135444708623E-9</v>
      </c>
      <c r="G7" s="12">
        <f t="shared" si="6"/>
        <v>-8280563423569.376</v>
      </c>
      <c r="H7" s="12">
        <f t="shared" si="7"/>
        <v>1.5971135444708623E-9</v>
      </c>
      <c r="I7" s="11">
        <f t="shared" si="8"/>
        <v>1.5393557109883904</v>
      </c>
      <c r="W7" s="1">
        <f t="shared" si="9"/>
        <v>-180</v>
      </c>
      <c r="X7" s="1">
        <f t="shared" si="0"/>
        <v>2.6674512547801045E-14</v>
      </c>
      <c r="Y7" s="1">
        <f t="shared" si="1"/>
        <v>-4.9579162791824717E+17</v>
      </c>
      <c r="Z7" s="1">
        <f t="shared" si="2"/>
        <v>2.6674512547801045E-14</v>
      </c>
    </row>
    <row r="8" spans="1:26" x14ac:dyDescent="0.25">
      <c r="D8" s="8">
        <f t="shared" si="3"/>
        <v>-100</v>
      </c>
      <c r="E8" s="8">
        <f t="shared" si="4"/>
        <v>4.1368282912810486</v>
      </c>
      <c r="F8" s="12">
        <f t="shared" si="5"/>
        <v>2.3703266658043415E-7</v>
      </c>
      <c r="G8" s="12">
        <f t="shared" si="6"/>
        <v>-55793997242.125885</v>
      </c>
      <c r="H8" s="12">
        <f t="shared" si="7"/>
        <v>2.3703266658043415E-7</v>
      </c>
      <c r="I8" s="11">
        <f t="shared" si="8"/>
        <v>4.1368280542483822</v>
      </c>
      <c r="W8" s="1">
        <f t="shared" si="9"/>
        <v>-175</v>
      </c>
      <c r="X8" s="1">
        <f t="shared" si="0"/>
        <v>7.2508842741690373E-14</v>
      </c>
      <c r="Y8" s="1">
        <f t="shared" si="1"/>
        <v>-1.8239154701604432E+17</v>
      </c>
      <c r="Z8" s="1">
        <f t="shared" si="2"/>
        <v>7.2508842741690373E-14</v>
      </c>
    </row>
    <row r="9" spans="1:26" x14ac:dyDescent="0.25">
      <c r="D9" s="8">
        <f t="shared" si="3"/>
        <v>-75</v>
      </c>
      <c r="E9" s="8">
        <f t="shared" si="4"/>
        <v>10.907950830840363</v>
      </c>
      <c r="F9" s="12">
        <f t="shared" si="5"/>
        <v>3.5178766857709963E-5</v>
      </c>
      <c r="G9" s="12">
        <f t="shared" si="6"/>
        <v>-375936767.83429271</v>
      </c>
      <c r="H9" s="12">
        <f t="shared" si="7"/>
        <v>3.5178766857709963E-5</v>
      </c>
      <c r="I9" s="11">
        <f t="shared" si="8"/>
        <v>10.907915652073505</v>
      </c>
      <c r="W9" s="1">
        <f t="shared" si="9"/>
        <v>-170</v>
      </c>
      <c r="X9" s="1">
        <f t="shared" si="0"/>
        <v>1.970994696273315E-13</v>
      </c>
      <c r="Y9" s="1">
        <f t="shared" si="1"/>
        <v>-6.709810039065708E+16</v>
      </c>
      <c r="Z9" s="1">
        <f t="shared" si="2"/>
        <v>1.970994696273315E-13</v>
      </c>
    </row>
    <row r="10" spans="1:26" x14ac:dyDescent="0.25">
      <c r="D10" s="8">
        <f t="shared" si="3"/>
        <v>-50</v>
      </c>
      <c r="E10" s="8">
        <f t="shared" si="4"/>
        <v>27.416672065087042</v>
      </c>
      <c r="F10" s="12">
        <f t="shared" si="5"/>
        <v>5.220991922685758E-3</v>
      </c>
      <c r="G10" s="12">
        <f t="shared" si="6"/>
        <v>-2532813.5664027724</v>
      </c>
      <c r="H10" s="12">
        <f t="shared" si="7"/>
        <v>5.220991922685758E-3</v>
      </c>
      <c r="I10" s="11">
        <f t="shared" si="8"/>
        <v>27.411451073164358</v>
      </c>
      <c r="W10" s="1">
        <f t="shared" si="9"/>
        <v>-165</v>
      </c>
      <c r="X10" s="1">
        <f t="shared" si="0"/>
        <v>5.3577190668689075E-13</v>
      </c>
      <c r="Y10" s="1">
        <f t="shared" si="1"/>
        <v>-2.468401167538012E+16</v>
      </c>
      <c r="Z10" s="1">
        <f t="shared" si="2"/>
        <v>5.3577190668689075E-13</v>
      </c>
    </row>
    <row r="11" spans="1:26" x14ac:dyDescent="0.25">
      <c r="D11" s="8">
        <f t="shared" si="3"/>
        <v>-25</v>
      </c>
      <c r="E11" s="8">
        <f t="shared" si="4"/>
        <v>61.856526915098875</v>
      </c>
      <c r="F11" s="12">
        <f t="shared" si="5"/>
        <v>0.7748639048948287</v>
      </c>
      <c r="G11" s="12">
        <f t="shared" si="6"/>
        <v>-16837.513296796307</v>
      </c>
      <c r="H11" s="12">
        <f t="shared" si="7"/>
        <v>0.7748639048948287</v>
      </c>
      <c r="I11" s="11">
        <f t="shared" si="8"/>
        <v>61.081663010204046</v>
      </c>
      <c r="W11" s="1">
        <f t="shared" si="9"/>
        <v>-160</v>
      </c>
      <c r="X11" s="1">
        <f t="shared" si="0"/>
        <v>1.4563790381458301E-12</v>
      </c>
      <c r="Y11" s="1">
        <f t="shared" si="1"/>
        <v>-9080740421008050</v>
      </c>
      <c r="Z11" s="1">
        <f t="shared" si="2"/>
        <v>1.4563790381458301E-12</v>
      </c>
    </row>
    <row r="12" spans="1:26" x14ac:dyDescent="0.25">
      <c r="D12" s="8">
        <f t="shared" si="3"/>
        <v>-5</v>
      </c>
      <c r="E12" s="8">
        <f t="shared" si="4"/>
        <v>103.53818061813008</v>
      </c>
      <c r="F12" s="12">
        <f t="shared" si="5"/>
        <v>42.306135734715866</v>
      </c>
      <c r="G12" s="12">
        <f t="shared" si="6"/>
        <v>-82.602410272790166</v>
      </c>
      <c r="H12" s="12">
        <f t="shared" si="7"/>
        <v>42.306135734715866</v>
      </c>
      <c r="I12" s="11">
        <f t="shared" si="8"/>
        <v>61.232044883414218</v>
      </c>
      <c r="W12" s="1">
        <f t="shared" si="9"/>
        <v>-155</v>
      </c>
      <c r="X12" s="1">
        <f t="shared" si="0"/>
        <v>3.9588486747404732E-12</v>
      </c>
      <c r="Y12" s="1">
        <f t="shared" si="1"/>
        <v>-3340617711503224</v>
      </c>
      <c r="Z12" s="1">
        <f t="shared" si="2"/>
        <v>3.9588486747404732E-12</v>
      </c>
    </row>
    <row r="13" spans="1:26" x14ac:dyDescent="0.25">
      <c r="D13" s="8">
        <f t="shared" si="3"/>
        <v>0</v>
      </c>
      <c r="E13" s="8">
        <f t="shared" si="4"/>
        <v>115</v>
      </c>
      <c r="F13" s="12">
        <f t="shared" si="5"/>
        <v>115</v>
      </c>
      <c r="G13" s="12">
        <f t="shared" si="6"/>
        <v>115</v>
      </c>
      <c r="H13" s="12">
        <f t="shared" si="7"/>
        <v>115</v>
      </c>
      <c r="I13" s="11">
        <f t="shared" si="8"/>
        <v>0</v>
      </c>
      <c r="W13" s="1">
        <f t="shared" si="9"/>
        <v>-150</v>
      </c>
      <c r="X13" s="1">
        <f t="shared" si="0"/>
        <v>1.0761266414166201E-11</v>
      </c>
      <c r="Y13" s="1">
        <f t="shared" si="1"/>
        <v>-1228944576875083.3</v>
      </c>
      <c r="Z13" s="1">
        <f t="shared" si="2"/>
        <v>1.0761266414166201E-11</v>
      </c>
    </row>
    <row r="14" spans="1:26" x14ac:dyDescent="0.25">
      <c r="D14" s="8">
        <f t="shared" si="3"/>
        <v>5</v>
      </c>
      <c r="E14" s="8">
        <f t="shared" si="4"/>
        <v>126.46181938186992</v>
      </c>
      <c r="F14" s="12">
        <f t="shared" si="5"/>
        <v>312.60241027279017</v>
      </c>
      <c r="G14" s="12">
        <f t="shared" si="6"/>
        <v>187.69386426528413</v>
      </c>
      <c r="H14" s="12">
        <f t="shared" si="7"/>
        <v>187.69386426528413</v>
      </c>
      <c r="I14" s="11">
        <f t="shared" si="8"/>
        <v>-61.232044883414218</v>
      </c>
      <c r="W14" s="1">
        <f t="shared" si="9"/>
        <v>-145</v>
      </c>
      <c r="X14" s="1">
        <f t="shared" si="0"/>
        <v>2.9252154944834613E-11</v>
      </c>
      <c r="Y14" s="1">
        <f t="shared" si="1"/>
        <v>-452103444171334.81</v>
      </c>
      <c r="Z14" s="1">
        <f t="shared" si="2"/>
        <v>2.9252154944834613E-11</v>
      </c>
    </row>
    <row r="15" spans="1:26" x14ac:dyDescent="0.25">
      <c r="D15" s="8">
        <f t="shared" si="3"/>
        <v>25</v>
      </c>
      <c r="E15" s="8">
        <f t="shared" si="4"/>
        <v>168.14347308490113</v>
      </c>
      <c r="F15" s="12">
        <f t="shared" si="5"/>
        <v>17067.513296796307</v>
      </c>
      <c r="G15" s="12">
        <f t="shared" si="6"/>
        <v>229.22513609510517</v>
      </c>
      <c r="H15" s="12">
        <f t="shared" si="7"/>
        <v>229.22513609510517</v>
      </c>
      <c r="I15" s="11">
        <f t="shared" si="8"/>
        <v>-61.081663010204039</v>
      </c>
      <c r="W15" s="1">
        <f t="shared" si="9"/>
        <v>-140</v>
      </c>
      <c r="X15" s="1">
        <f t="shared" si="0"/>
        <v>7.9515601229812333E-11</v>
      </c>
      <c r="Y15" s="1">
        <f t="shared" si="1"/>
        <v>-166319562393289.63</v>
      </c>
      <c r="Z15" s="1">
        <f t="shared" si="2"/>
        <v>7.9515601229812333E-11</v>
      </c>
    </row>
    <row r="16" spans="1:26" x14ac:dyDescent="0.25">
      <c r="D16" s="8">
        <f t="shared" si="3"/>
        <v>50</v>
      </c>
      <c r="E16" s="8">
        <f t="shared" si="4"/>
        <v>202.58332793491297</v>
      </c>
      <c r="F16" s="12">
        <f t="shared" si="5"/>
        <v>2533043.5664027724</v>
      </c>
      <c r="G16" s="12">
        <f t="shared" si="6"/>
        <v>229.9947790080773</v>
      </c>
      <c r="H16" s="12">
        <f t="shared" si="7"/>
        <v>229.9947790080773</v>
      </c>
      <c r="I16" s="11">
        <f t="shared" si="8"/>
        <v>-27.411451073164329</v>
      </c>
      <c r="W16" s="1">
        <f t="shared" si="9"/>
        <v>-135</v>
      </c>
      <c r="X16" s="1">
        <f t="shared" si="0"/>
        <v>2.1614581390199458E-10</v>
      </c>
      <c r="Y16" s="1">
        <f t="shared" si="1"/>
        <v>-61185547668976.844</v>
      </c>
      <c r="Z16" s="1">
        <f t="shared" si="2"/>
        <v>2.1614581390199458E-10</v>
      </c>
    </row>
    <row r="17" spans="4:26" x14ac:dyDescent="0.25">
      <c r="D17" s="8">
        <f t="shared" si="3"/>
        <v>75</v>
      </c>
      <c r="E17" s="8">
        <f t="shared" si="4"/>
        <v>219.09204916915962</v>
      </c>
      <c r="F17" s="12">
        <f t="shared" si="5"/>
        <v>375936997.83429271</v>
      </c>
      <c r="G17" s="12">
        <f t="shared" si="6"/>
        <v>229.99996482123314</v>
      </c>
      <c r="H17" s="12">
        <f t="shared" si="7"/>
        <v>229.99996482123314</v>
      </c>
      <c r="I17" s="11">
        <f t="shared" si="8"/>
        <v>-10.907915652073513</v>
      </c>
      <c r="W17" s="1">
        <f t="shared" si="9"/>
        <v>-130</v>
      </c>
      <c r="X17" s="1">
        <f t="shared" si="0"/>
        <v>5.8754523822728236E-10</v>
      </c>
      <c r="Y17" s="1">
        <f t="shared" si="1"/>
        <v>-22508905084086.461</v>
      </c>
      <c r="Z17" s="1">
        <f t="shared" si="2"/>
        <v>5.8754523822728236E-10</v>
      </c>
    </row>
    <row r="18" spans="4:26" x14ac:dyDescent="0.25">
      <c r="D18" s="8">
        <f t="shared" si="3"/>
        <v>100</v>
      </c>
      <c r="E18" s="8">
        <f t="shared" si="4"/>
        <v>225.86317170871894</v>
      </c>
      <c r="F18" s="12">
        <f t="shared" si="5"/>
        <v>55793997472.125885</v>
      </c>
      <c r="G18" s="12">
        <f t="shared" si="6"/>
        <v>229.99999976296732</v>
      </c>
      <c r="H18" s="12">
        <f t="shared" si="7"/>
        <v>229.99999976296732</v>
      </c>
      <c r="I18" s="11">
        <f t="shared" si="8"/>
        <v>-4.1368280542483831</v>
      </c>
      <c r="W18" s="1">
        <f t="shared" si="9"/>
        <v>-125</v>
      </c>
      <c r="X18" s="1">
        <f t="shared" si="0"/>
        <v>1.5971135444708623E-9</v>
      </c>
      <c r="Y18" s="1">
        <f t="shared" si="1"/>
        <v>-8280563423569.376</v>
      </c>
      <c r="Z18" s="1">
        <f t="shared" si="2"/>
        <v>1.5971135444708623E-9</v>
      </c>
    </row>
    <row r="19" spans="4:26" x14ac:dyDescent="0.25">
      <c r="D19" s="8">
        <f t="shared" si="3"/>
        <v>125</v>
      </c>
      <c r="E19" s="8">
        <f t="shared" si="4"/>
        <v>228.46064428741448</v>
      </c>
      <c r="F19" s="12">
        <f t="shared" si="5"/>
        <v>8280563423799.376</v>
      </c>
      <c r="G19" s="12">
        <f t="shared" si="6"/>
        <v>229.9999999984029</v>
      </c>
      <c r="H19" s="12">
        <f t="shared" si="7"/>
        <v>229.9999999984029</v>
      </c>
      <c r="I19" s="11">
        <f t="shared" si="8"/>
        <v>-1.5393557109884171</v>
      </c>
      <c r="W19" s="1">
        <f t="shared" si="9"/>
        <v>-120</v>
      </c>
      <c r="X19" s="1">
        <f t="shared" si="0"/>
        <v>4.3414047259209624E-9</v>
      </c>
      <c r="Y19" s="1">
        <f t="shared" si="1"/>
        <v>-3046249044701.999</v>
      </c>
      <c r="Z19" s="1">
        <f t="shared" si="2"/>
        <v>4.3414047259209624E-9</v>
      </c>
    </row>
    <row r="20" spans="4:26" x14ac:dyDescent="0.25">
      <c r="D20" s="8">
        <f t="shared" si="3"/>
        <v>150</v>
      </c>
      <c r="E20" s="8">
        <f t="shared" si="4"/>
        <v>229.43129667397403</v>
      </c>
      <c r="F20" s="12">
        <f t="shared" si="5"/>
        <v>1228944576875313.3</v>
      </c>
      <c r="G20" s="12">
        <f t="shared" si="6"/>
        <v>229.99999999998923</v>
      </c>
      <c r="H20" s="12">
        <f t="shared" si="7"/>
        <v>229.99999999998923</v>
      </c>
      <c r="I20" s="11">
        <f t="shared" si="8"/>
        <v>-0.56870332601519635</v>
      </c>
      <c r="W20" s="1">
        <f t="shared" si="9"/>
        <v>-115</v>
      </c>
      <c r="X20" s="1">
        <f t="shared" si="0"/>
        <v>1.1801161576457174E-8</v>
      </c>
      <c r="Y20" s="1">
        <f t="shared" si="1"/>
        <v>-1120652396088.6238</v>
      </c>
      <c r="Z20" s="1">
        <f t="shared" si="2"/>
        <v>1.1801161576457174E-8</v>
      </c>
    </row>
    <row r="21" spans="4:26" x14ac:dyDescent="0.25">
      <c r="D21" s="8">
        <f t="shared" si="3"/>
        <v>175</v>
      </c>
      <c r="E21" s="8">
        <f t="shared" si="4"/>
        <v>229.79045822528786</v>
      </c>
      <c r="F21" s="12">
        <f t="shared" si="5"/>
        <v>1.8239154701604454E+17</v>
      </c>
      <c r="G21" s="12">
        <f t="shared" si="6"/>
        <v>229.99999999999991</v>
      </c>
      <c r="H21" s="12">
        <f t="shared" si="7"/>
        <v>229.99999999999991</v>
      </c>
      <c r="I21" s="11">
        <f t="shared" si="8"/>
        <v>-0.20954177471205071</v>
      </c>
      <c r="W21" s="1">
        <f t="shared" si="9"/>
        <v>-110</v>
      </c>
      <c r="X21" s="1">
        <f t="shared" si="0"/>
        <v>3.2078883067992636E-8</v>
      </c>
      <c r="Y21" s="1">
        <f t="shared" si="1"/>
        <v>-412264977075.13306</v>
      </c>
      <c r="Z21" s="1">
        <f t="shared" si="2"/>
        <v>3.2078883067992636E-8</v>
      </c>
    </row>
    <row r="22" spans="4:26" x14ac:dyDescent="0.25">
      <c r="D22" s="8">
        <f t="shared" si="3"/>
        <v>200</v>
      </c>
      <c r="E22" s="8">
        <f t="shared" si="4"/>
        <v>229.92286946999269</v>
      </c>
      <c r="F22" s="12">
        <f t="shared" si="5"/>
        <v>2.7069305686257299E+19</v>
      </c>
      <c r="G22" s="12">
        <f t="shared" si="6"/>
        <v>230</v>
      </c>
      <c r="H22" s="12">
        <f t="shared" si="7"/>
        <v>230</v>
      </c>
      <c r="I22" s="11">
        <f t="shared" si="8"/>
        <v>-7.7130530007309517E-2</v>
      </c>
      <c r="W22" s="1">
        <f t="shared" si="9"/>
        <v>-105</v>
      </c>
      <c r="X22" s="1">
        <f t="shared" si="0"/>
        <v>8.7199444920986925E-8</v>
      </c>
      <c r="Y22" s="1">
        <f t="shared" si="1"/>
        <v>-151663809235.56967</v>
      </c>
      <c r="Z22" s="1">
        <f t="shared" si="2"/>
        <v>8.7199444920986925E-8</v>
      </c>
    </row>
    <row r="23" spans="4:26" x14ac:dyDescent="0.25">
      <c r="D23" s="8" t="e">
        <f t="shared" si="3"/>
        <v>#N/A</v>
      </c>
      <c r="E23" s="8" t="e">
        <f t="shared" si="4"/>
        <v>#N/A</v>
      </c>
      <c r="F23" s="12" t="str">
        <f t="shared" si="5"/>
        <v/>
      </c>
      <c r="G23" s="12" t="str">
        <f t="shared" si="6"/>
        <v/>
      </c>
      <c r="H23" s="12" t="str">
        <f t="shared" si="7"/>
        <v/>
      </c>
      <c r="I23" s="11" t="str">
        <f t="shared" si="8"/>
        <v/>
      </c>
      <c r="W23" s="1">
        <f t="shared" si="9"/>
        <v>-100</v>
      </c>
      <c r="X23" s="1">
        <f t="shared" si="0"/>
        <v>2.3703266658043415E-7</v>
      </c>
      <c r="Y23" s="1">
        <f t="shared" si="1"/>
        <v>-55793997242.125885</v>
      </c>
      <c r="Z23" s="1">
        <f t="shared" si="2"/>
        <v>2.3703266658043415E-7</v>
      </c>
    </row>
    <row r="24" spans="4:26" x14ac:dyDescent="0.25">
      <c r="D24" s="8" t="e">
        <f t="shared" si="3"/>
        <v>#N/A</v>
      </c>
      <c r="E24" s="8" t="e">
        <f t="shared" si="4"/>
        <v>#N/A</v>
      </c>
      <c r="F24" s="12" t="str">
        <f t="shared" si="5"/>
        <v/>
      </c>
      <c r="G24" s="12" t="str">
        <f t="shared" si="6"/>
        <v/>
      </c>
      <c r="H24" s="12" t="str">
        <f t="shared" si="7"/>
        <v/>
      </c>
      <c r="I24" s="11" t="str">
        <f t="shared" si="8"/>
        <v/>
      </c>
      <c r="W24" s="1">
        <f t="shared" si="9"/>
        <v>-95</v>
      </c>
      <c r="X24" s="1">
        <f t="shared" si="0"/>
        <v>6.4432159031678576E-7</v>
      </c>
      <c r="Y24" s="1">
        <f t="shared" si="1"/>
        <v>-20525464380.766533</v>
      </c>
      <c r="Z24" s="1">
        <f t="shared" si="2"/>
        <v>6.4432159031678576E-7</v>
      </c>
    </row>
    <row r="25" spans="4:26" x14ac:dyDescent="0.25">
      <c r="D25" s="8" t="e">
        <f t="shared" si="3"/>
        <v>#N/A</v>
      </c>
      <c r="E25" s="8" t="e">
        <f t="shared" si="4"/>
        <v>#N/A</v>
      </c>
      <c r="F25" s="12" t="str">
        <f t="shared" si="5"/>
        <v/>
      </c>
      <c r="G25" s="12" t="str">
        <f t="shared" si="6"/>
        <v/>
      </c>
      <c r="H25" s="12" t="str">
        <f t="shared" si="7"/>
        <v/>
      </c>
      <c r="I25" s="11" t="str">
        <f t="shared" si="8"/>
        <v/>
      </c>
      <c r="W25" s="1">
        <f t="shared" si="9"/>
        <v>-90</v>
      </c>
      <c r="X25" s="1">
        <f t="shared" si="0"/>
        <v>1.7514476706419523E-6</v>
      </c>
      <c r="Y25" s="1">
        <f t="shared" si="1"/>
        <v>-7550896220.7930088</v>
      </c>
      <c r="Z25" s="1">
        <f t="shared" si="2"/>
        <v>1.7514476706419523E-6</v>
      </c>
    </row>
    <row r="26" spans="4:26" x14ac:dyDescent="0.25">
      <c r="D26" s="8" t="e">
        <f t="shared" si="3"/>
        <v>#N/A</v>
      </c>
      <c r="E26" s="8" t="e">
        <f t="shared" si="4"/>
        <v>#N/A</v>
      </c>
      <c r="F26" s="12" t="str">
        <f t="shared" si="5"/>
        <v/>
      </c>
      <c r="G26" s="12" t="str">
        <f t="shared" si="6"/>
        <v/>
      </c>
      <c r="H26" s="12" t="str">
        <f t="shared" si="7"/>
        <v/>
      </c>
      <c r="I26" s="11" t="str">
        <f t="shared" si="8"/>
        <v/>
      </c>
      <c r="W26" s="1">
        <f t="shared" si="9"/>
        <v>-85</v>
      </c>
      <c r="X26" s="1">
        <f t="shared" si="0"/>
        <v>4.7609283766029418E-6</v>
      </c>
      <c r="Y26" s="1">
        <f t="shared" si="1"/>
        <v>-2777819336.6611595</v>
      </c>
      <c r="Z26" s="1">
        <f t="shared" si="2"/>
        <v>4.7609283766029418E-6</v>
      </c>
    </row>
    <row r="27" spans="4:26" x14ac:dyDescent="0.25">
      <c r="D27" s="8" t="e">
        <f t="shared" si="3"/>
        <v>#N/A</v>
      </c>
      <c r="E27" s="8" t="e">
        <f t="shared" si="4"/>
        <v>#N/A</v>
      </c>
      <c r="F27" s="12" t="str">
        <f t="shared" si="5"/>
        <v/>
      </c>
      <c r="G27" s="12" t="str">
        <f t="shared" si="6"/>
        <v/>
      </c>
      <c r="H27" s="12" t="str">
        <f t="shared" si="7"/>
        <v/>
      </c>
      <c r="I27" s="11" t="str">
        <f t="shared" si="8"/>
        <v/>
      </c>
      <c r="W27" s="1">
        <f t="shared" si="9"/>
        <v>-80</v>
      </c>
      <c r="X27" s="1">
        <f t="shared" si="0"/>
        <v>1.2941545092714798E-5</v>
      </c>
      <c r="Y27" s="1">
        <f t="shared" si="1"/>
        <v>-1021902479.8584054</v>
      </c>
      <c r="Z27" s="1">
        <f t="shared" si="2"/>
        <v>1.2941545092714798E-5</v>
      </c>
    </row>
    <row r="28" spans="4:26" x14ac:dyDescent="0.25">
      <c r="D28" s="8" t="e">
        <f t="shared" si="3"/>
        <v>#N/A</v>
      </c>
      <c r="E28" s="8" t="e">
        <f t="shared" si="4"/>
        <v>#N/A</v>
      </c>
      <c r="F28" s="12" t="str">
        <f t="shared" si="5"/>
        <v/>
      </c>
      <c r="G28" s="12" t="str">
        <f t="shared" si="6"/>
        <v/>
      </c>
      <c r="H28" s="12" t="str">
        <f t="shared" si="7"/>
        <v/>
      </c>
      <c r="I28" s="11" t="str">
        <f t="shared" si="8"/>
        <v/>
      </c>
      <c r="W28" s="1">
        <f t="shared" si="9"/>
        <v>-75</v>
      </c>
      <c r="X28" s="1">
        <f t="shared" si="0"/>
        <v>3.5178766857709963E-5</v>
      </c>
      <c r="Y28" s="1">
        <f t="shared" si="1"/>
        <v>-375936767.83429271</v>
      </c>
      <c r="Z28" s="1">
        <f t="shared" si="2"/>
        <v>3.5178766857709963E-5</v>
      </c>
    </row>
    <row r="29" spans="4:26" x14ac:dyDescent="0.25">
      <c r="D29" s="8" t="e">
        <f t="shared" si="3"/>
        <v>#N/A</v>
      </c>
      <c r="E29" s="8" t="e">
        <f t="shared" si="4"/>
        <v>#N/A</v>
      </c>
      <c r="F29" s="12" t="str">
        <f t="shared" si="5"/>
        <v/>
      </c>
      <c r="G29" s="12" t="str">
        <f t="shared" si="6"/>
        <v/>
      </c>
      <c r="H29" s="12" t="str">
        <f t="shared" si="7"/>
        <v/>
      </c>
      <c r="I29" s="11" t="str">
        <f t="shared" si="8"/>
        <v/>
      </c>
      <c r="W29" s="1">
        <f t="shared" si="9"/>
        <v>-70</v>
      </c>
      <c r="X29" s="1">
        <f t="shared" si="0"/>
        <v>9.5625802696910304E-5</v>
      </c>
      <c r="Y29" s="1">
        <f t="shared" si="1"/>
        <v>-138299262.67894933</v>
      </c>
      <c r="Z29" s="1">
        <f t="shared" si="2"/>
        <v>9.5625802696910304E-5</v>
      </c>
    </row>
    <row r="30" spans="4:26" x14ac:dyDescent="0.25">
      <c r="D30" s="8" t="e">
        <f t="shared" si="3"/>
        <v>#N/A</v>
      </c>
      <c r="E30" s="8" t="e">
        <f t="shared" si="4"/>
        <v>#N/A</v>
      </c>
      <c r="F30" s="12" t="str">
        <f t="shared" si="5"/>
        <v/>
      </c>
      <c r="G30" s="12" t="str">
        <f t="shared" si="6"/>
        <v/>
      </c>
      <c r="H30" s="12" t="str">
        <f t="shared" si="7"/>
        <v/>
      </c>
      <c r="I30" s="11" t="str">
        <f t="shared" si="8"/>
        <v/>
      </c>
      <c r="W30" s="1">
        <f t="shared" si="9"/>
        <v>-65</v>
      </c>
      <c r="X30" s="1">
        <f t="shared" si="0"/>
        <v>2.5993788180282126E-4</v>
      </c>
      <c r="Y30" s="1">
        <f t="shared" si="1"/>
        <v>-50877310.081025854</v>
      </c>
      <c r="Z30" s="1">
        <f t="shared" si="2"/>
        <v>2.5993788180282126E-4</v>
      </c>
    </row>
    <row r="31" spans="4:26" x14ac:dyDescent="0.25">
      <c r="D31" s="8" t="e">
        <f t="shared" si="3"/>
        <v>#N/A</v>
      </c>
      <c r="E31" s="8" t="e">
        <f t="shared" si="4"/>
        <v>#N/A</v>
      </c>
      <c r="F31" s="12" t="str">
        <f t="shared" si="5"/>
        <v/>
      </c>
      <c r="G31" s="12" t="str">
        <f t="shared" si="6"/>
        <v/>
      </c>
      <c r="H31" s="12" t="str">
        <f t="shared" si="7"/>
        <v/>
      </c>
      <c r="I31" s="11" t="str">
        <f t="shared" si="8"/>
        <v/>
      </c>
      <c r="W31" s="1">
        <f t="shared" si="9"/>
        <v>-60</v>
      </c>
      <c r="X31" s="1">
        <f t="shared" si="0"/>
        <v>7.0658442063274414E-4</v>
      </c>
      <c r="Y31" s="1">
        <f t="shared" si="1"/>
        <v>-18716571.013185449</v>
      </c>
      <c r="Z31" s="1">
        <f t="shared" si="2"/>
        <v>7.0658442063274414E-4</v>
      </c>
    </row>
    <row r="32" spans="4:26" x14ac:dyDescent="0.25">
      <c r="D32" s="8" t="e">
        <f t="shared" si="3"/>
        <v>#N/A</v>
      </c>
      <c r="E32" s="8" t="e">
        <f t="shared" si="4"/>
        <v>#N/A</v>
      </c>
      <c r="F32" s="12" t="str">
        <f t="shared" si="5"/>
        <v/>
      </c>
      <c r="G32" s="12" t="str">
        <f t="shared" si="6"/>
        <v/>
      </c>
      <c r="H32" s="12" t="str">
        <f t="shared" si="7"/>
        <v/>
      </c>
      <c r="I32" s="11" t="str">
        <f t="shared" si="8"/>
        <v/>
      </c>
      <c r="W32" s="1">
        <f t="shared" si="9"/>
        <v>-55</v>
      </c>
      <c r="X32" s="1">
        <f t="shared" si="0"/>
        <v>1.9206955908782509E-3</v>
      </c>
      <c r="Y32" s="1">
        <f t="shared" si="1"/>
        <v>-6885296.2972477488</v>
      </c>
      <c r="Z32" s="1">
        <f t="shared" si="2"/>
        <v>1.9206955908782509E-3</v>
      </c>
    </row>
    <row r="33" spans="1:26" x14ac:dyDescent="0.25">
      <c r="D33" s="8" t="e">
        <f t="shared" si="3"/>
        <v>#N/A</v>
      </c>
      <c r="E33" s="8" t="e">
        <f t="shared" si="4"/>
        <v>#N/A</v>
      </c>
      <c r="F33" s="12" t="str">
        <f t="shared" si="5"/>
        <v/>
      </c>
      <c r="G33" s="12" t="str">
        <f t="shared" si="6"/>
        <v/>
      </c>
      <c r="H33" s="12" t="str">
        <f t="shared" si="7"/>
        <v/>
      </c>
      <c r="I33" s="11" t="str">
        <f t="shared" si="8"/>
        <v/>
      </c>
      <c r="W33" s="1">
        <f t="shared" si="9"/>
        <v>-50</v>
      </c>
      <c r="X33" s="1">
        <f t="shared" si="0"/>
        <v>5.220991922685758E-3</v>
      </c>
      <c r="Y33" s="1">
        <f t="shared" si="1"/>
        <v>-2532813.5664027724</v>
      </c>
      <c r="Z33" s="1">
        <f t="shared" si="2"/>
        <v>5.220991922685758E-3</v>
      </c>
    </row>
    <row r="34" spans="1:26" x14ac:dyDescent="0.25">
      <c r="D34" s="8" t="e">
        <f t="shared" si="3"/>
        <v>#N/A</v>
      </c>
      <c r="E34" s="8" t="e">
        <f t="shared" si="4"/>
        <v>#N/A</v>
      </c>
      <c r="F34" s="12" t="str">
        <f t="shared" si="5"/>
        <v/>
      </c>
      <c r="G34" s="12" t="str">
        <f t="shared" si="6"/>
        <v/>
      </c>
      <c r="H34" s="12" t="str">
        <f t="shared" si="7"/>
        <v/>
      </c>
      <c r="I34" s="11" t="str">
        <f t="shared" si="8"/>
        <v/>
      </c>
      <c r="W34" s="1">
        <f t="shared" si="9"/>
        <v>-45</v>
      </c>
      <c r="X34" s="1">
        <f t="shared" si="0"/>
        <v>1.419212746996815E-2</v>
      </c>
      <c r="Y34" s="1">
        <f t="shared" si="1"/>
        <v>-931624.65167116921</v>
      </c>
      <c r="Z34" s="1">
        <f t="shared" si="2"/>
        <v>1.419212746996815E-2</v>
      </c>
    </row>
    <row r="35" spans="1:26" x14ac:dyDescent="0.25">
      <c r="D35" s="29" t="e">
        <f t="shared" si="3"/>
        <v>#N/A</v>
      </c>
      <c r="E35" s="29" t="e">
        <f t="shared" si="4"/>
        <v>#N/A</v>
      </c>
      <c r="F35" s="12" t="str">
        <f t="shared" si="5"/>
        <v/>
      </c>
      <c r="G35" s="12" t="str">
        <f t="shared" si="6"/>
        <v/>
      </c>
      <c r="H35" s="12" t="str">
        <f t="shared" si="7"/>
        <v/>
      </c>
      <c r="I35" s="11" t="str">
        <f t="shared" si="8"/>
        <v/>
      </c>
      <c r="W35" s="1">
        <f t="shared" si="9"/>
        <v>-40</v>
      </c>
      <c r="X35" s="1">
        <f t="shared" ref="X35:X66" si="10">LS+(US-LS)/(1+p)*EXP((1+p)/(2*C_Kohout)*($W35-T0_Kohout))</f>
        <v>3.857820220878886E-2</v>
      </c>
      <c r="Y35" s="1">
        <f t="shared" ref="Y35:Y66" si="11">US-p*(US-LS)/(1+p)*EXP(-(1+p)/(2*p*C_Kohout)*($W35-T0_Kohout))</f>
        <v>-342580.16850979876</v>
      </c>
      <c r="Z35" s="1">
        <f t="shared" ref="Z35:Z66" si="12">IF($W35&lt;=T0_Kohout,$X35,$Y35)</f>
        <v>3.857820220878886E-2</v>
      </c>
    </row>
    <row r="36" spans="1:26" x14ac:dyDescent="0.25">
      <c r="A36" s="5" t="s">
        <v>0</v>
      </c>
      <c r="W36" s="1">
        <f t="shared" si="9"/>
        <v>-35</v>
      </c>
      <c r="X36" s="1">
        <f t="shared" si="10"/>
        <v>0.10486642603876936</v>
      </c>
      <c r="Y36" s="1">
        <f t="shared" si="11"/>
        <v>-125882.81321927272</v>
      </c>
      <c r="Z36" s="1">
        <f t="shared" si="12"/>
        <v>0.10486642603876936</v>
      </c>
    </row>
    <row r="37" spans="1:26" ht="15.75" thickBot="1" x14ac:dyDescent="0.3">
      <c r="E37" s="32">
        <f>T0_Kohout+2*C_Kohout/(1+p)*LN((1+p)/2)</f>
        <v>0</v>
      </c>
      <c r="F37" s="11">
        <f>T0_Kohout-p*2*C_Kohout/(1+p)*LN((1+p)/(2*p))</f>
        <v>0</v>
      </c>
      <c r="W37" s="1">
        <f t="shared" si="9"/>
        <v>-30</v>
      </c>
      <c r="X37" s="1">
        <f t="shared" si="10"/>
        <v>0.28505650031663121</v>
      </c>
      <c r="Y37" s="1">
        <f t="shared" si="11"/>
        <v>-46164.311251664534</v>
      </c>
      <c r="Z37" s="1">
        <f t="shared" si="12"/>
        <v>0.28505650031663121</v>
      </c>
    </row>
    <row r="38" spans="1:26" ht="15.75" thickBot="1" x14ac:dyDescent="0.3">
      <c r="A38" s="2" t="s">
        <v>10</v>
      </c>
      <c r="B38" s="7">
        <f>LS</f>
        <v>0</v>
      </c>
      <c r="C38" s="4" t="s">
        <v>1</v>
      </c>
      <c r="D38" s="13" t="s">
        <v>18</v>
      </c>
      <c r="E38" s="14">
        <f>IF(AVERAGE(DBTT1_KASYM,DBTT2_KASYM)&lt;T0_Kohout,DBTT1_KASYM,DBTT2_KASYM)</f>
        <v>0</v>
      </c>
      <c r="F38" s="15" t="s">
        <v>4</v>
      </c>
      <c r="W38" s="1">
        <f>W37+5</f>
        <v>-25</v>
      </c>
      <c r="X38" s="1">
        <f t="shared" si="10"/>
        <v>0.7748639048948287</v>
      </c>
      <c r="Y38" s="1">
        <f t="shared" si="11"/>
        <v>-16837.513296796307</v>
      </c>
      <c r="Z38" s="1">
        <f t="shared" si="12"/>
        <v>0.7748639048948287</v>
      </c>
    </row>
    <row r="39" spans="1:26" x14ac:dyDescent="0.25">
      <c r="A39" s="2" t="s">
        <v>11</v>
      </c>
      <c r="B39" s="7">
        <f>US</f>
        <v>230</v>
      </c>
      <c r="C39" s="4" t="s">
        <v>1</v>
      </c>
      <c r="D39" s="27" t="s">
        <v>28</v>
      </c>
      <c r="E39" s="28">
        <f>SQRT(SUMSQ(Residuals_KASYM)/(COUNT(Y_values)-3))</f>
        <v>32.346871012743371</v>
      </c>
      <c r="F39" s="11"/>
      <c r="G39" s="11">
        <f>DBTT_Kohout</f>
        <v>0</v>
      </c>
      <c r="H39" s="11">
        <v>0</v>
      </c>
      <c r="W39" s="1">
        <f t="shared" si="9"/>
        <v>-20</v>
      </c>
      <c r="X39" s="1">
        <f t="shared" si="10"/>
        <v>2.1062984722044304</v>
      </c>
      <c r="Y39" s="1">
        <f t="shared" si="11"/>
        <v>-6048.7872538115871</v>
      </c>
      <c r="Z39" s="1">
        <f t="shared" si="12"/>
        <v>2.1062984722044304</v>
      </c>
    </row>
    <row r="40" spans="1:26" x14ac:dyDescent="0.25">
      <c r="E40" s="10" t="e">
        <f>IF(DBTT_Kohout&lt;=T0_Kohout,LS_Kohout+(US_Kohout-LS_Kohout)/(1+p)*EXP((1+p)/(2*C_Kohout)*(DBTT_Kohout-T0_Kohout)),US_Kohout-p*(US_Kohout-LS_Kohout)/(1+p)*EXP(-(1+p)/(2*p*C_Kohout)*(DBTT_Kohout-T0_Kohout)))</f>
        <v>#NAME?</v>
      </c>
      <c r="F40" s="12" t="e">
        <f>ABS(E39-E40)</f>
        <v>#NAME?</v>
      </c>
      <c r="G40" s="11">
        <f>DBTT_Kohout</f>
        <v>0</v>
      </c>
      <c r="H40" s="11">
        <f>(LS+US)/2</f>
        <v>115</v>
      </c>
      <c r="W40" s="1">
        <f t="shared" si="9"/>
        <v>-15</v>
      </c>
      <c r="X40" s="1">
        <f t="shared" si="10"/>
        <v>5.7255128623043534</v>
      </c>
      <c r="Y40" s="1">
        <f t="shared" si="11"/>
        <v>-2079.8367461665816</v>
      </c>
      <c r="Z40" s="1">
        <f t="shared" si="12"/>
        <v>5.7255128623043534</v>
      </c>
    </row>
    <row r="41" spans="1:26" x14ac:dyDescent="0.25">
      <c r="W41" s="1">
        <f t="shared" si="9"/>
        <v>-10</v>
      </c>
      <c r="X41" s="1">
        <f t="shared" si="10"/>
        <v>15.563557572210462</v>
      </c>
      <c r="Y41" s="1">
        <f t="shared" si="11"/>
        <v>-619.74145137702476</v>
      </c>
      <c r="Z41" s="1">
        <f t="shared" si="12"/>
        <v>15.563557572210462</v>
      </c>
    </row>
    <row r="42" spans="1:26" x14ac:dyDescent="0.25">
      <c r="A42" s="5" t="s">
        <v>2</v>
      </c>
      <c r="B42" s="2" t="s">
        <v>20</v>
      </c>
      <c r="C42" s="37">
        <v>5</v>
      </c>
      <c r="D42" s="4" t="s">
        <v>26</v>
      </c>
      <c r="E42" s="4"/>
      <c r="F42" s="4"/>
      <c r="W42" s="1">
        <f t="shared" si="9"/>
        <v>-5</v>
      </c>
      <c r="X42" s="1">
        <f t="shared" si="10"/>
        <v>42.306135734715866</v>
      </c>
      <c r="Y42" s="1">
        <f t="shared" si="11"/>
        <v>-82.602410272790166</v>
      </c>
      <c r="Z42" s="1">
        <f t="shared" si="12"/>
        <v>42.306135734715866</v>
      </c>
    </row>
    <row r="43" spans="1:26" ht="18" x14ac:dyDescent="0.35">
      <c r="B43" s="2" t="s">
        <v>6</v>
      </c>
      <c r="C43" s="37">
        <v>0</v>
      </c>
      <c r="D43" s="4" t="s">
        <v>4</v>
      </c>
      <c r="E43" s="4"/>
      <c r="F43" s="4"/>
      <c r="W43" s="1">
        <f t="shared" si="9"/>
        <v>0</v>
      </c>
      <c r="X43" s="1">
        <f t="shared" si="10"/>
        <v>115</v>
      </c>
      <c r="Y43" s="1">
        <f t="shared" si="11"/>
        <v>115</v>
      </c>
      <c r="Z43" s="1">
        <f t="shared" si="12"/>
        <v>115</v>
      </c>
    </row>
    <row r="44" spans="1:26" x14ac:dyDescent="0.25">
      <c r="B44" s="2" t="s">
        <v>21</v>
      </c>
      <c r="C44" s="36">
        <v>1</v>
      </c>
      <c r="D44" s="4" t="s">
        <v>14</v>
      </c>
      <c r="E44" s="4"/>
      <c r="F44" s="4"/>
      <c r="W44" s="1">
        <f t="shared" si="9"/>
        <v>5</v>
      </c>
      <c r="X44" s="1">
        <f t="shared" si="10"/>
        <v>312.60241027279017</v>
      </c>
      <c r="Y44" s="1">
        <f t="shared" si="11"/>
        <v>187.69386426528413</v>
      </c>
      <c r="Z44" s="1">
        <f t="shared" si="12"/>
        <v>187.69386426528413</v>
      </c>
    </row>
    <row r="45" spans="1:26" x14ac:dyDescent="0.25">
      <c r="C45" s="3"/>
      <c r="W45" s="1">
        <f t="shared" si="9"/>
        <v>10</v>
      </c>
      <c r="X45" s="1">
        <f t="shared" si="10"/>
        <v>849.74145137702476</v>
      </c>
      <c r="Y45" s="1">
        <f t="shared" si="11"/>
        <v>214.43644242778953</v>
      </c>
      <c r="Z45" s="1">
        <f t="shared" si="12"/>
        <v>214.43644242778953</v>
      </c>
    </row>
    <row r="46" spans="1:26" x14ac:dyDescent="0.25">
      <c r="W46" s="1">
        <f t="shared" si="9"/>
        <v>15</v>
      </c>
      <c r="X46" s="1">
        <f t="shared" si="10"/>
        <v>2309.8367461665816</v>
      </c>
      <c r="Y46" s="1">
        <f t="shared" si="11"/>
        <v>224.27448713769564</v>
      </c>
      <c r="Z46" s="1">
        <f t="shared" si="12"/>
        <v>224.27448713769564</v>
      </c>
    </row>
    <row r="47" spans="1:26" x14ac:dyDescent="0.25">
      <c r="W47" s="1">
        <f t="shared" si="9"/>
        <v>20</v>
      </c>
      <c r="X47" s="1">
        <f t="shared" si="10"/>
        <v>6278.7872538115871</v>
      </c>
      <c r="Y47" s="1">
        <f t="shared" si="11"/>
        <v>227.89370152779557</v>
      </c>
      <c r="Z47" s="1">
        <f t="shared" si="12"/>
        <v>227.89370152779557</v>
      </c>
    </row>
    <row r="48" spans="1:26" x14ac:dyDescent="0.25">
      <c r="W48" s="1">
        <f t="shared" si="9"/>
        <v>25</v>
      </c>
      <c r="X48" s="1">
        <f t="shared" si="10"/>
        <v>17067.513296796307</v>
      </c>
      <c r="Y48" s="1">
        <f t="shared" si="11"/>
        <v>229.22513609510517</v>
      </c>
      <c r="Z48" s="1">
        <f t="shared" si="12"/>
        <v>229.22513609510517</v>
      </c>
    </row>
    <row r="49" spans="23:26" x14ac:dyDescent="0.25">
      <c r="W49" s="1">
        <f t="shared" si="9"/>
        <v>30</v>
      </c>
      <c r="X49" s="1">
        <f t="shared" si="10"/>
        <v>46394.311251664534</v>
      </c>
      <c r="Y49" s="1">
        <f t="shared" si="11"/>
        <v>229.71494349968336</v>
      </c>
      <c r="Z49" s="1">
        <f t="shared" si="12"/>
        <v>229.71494349968336</v>
      </c>
    </row>
    <row r="50" spans="23:26" x14ac:dyDescent="0.25">
      <c r="W50" s="1">
        <f t="shared" si="9"/>
        <v>35</v>
      </c>
      <c r="X50" s="1">
        <f t="shared" si="10"/>
        <v>126112.81321927272</v>
      </c>
      <c r="Y50" s="1">
        <f t="shared" si="11"/>
        <v>229.89513357396123</v>
      </c>
      <c r="Z50" s="1">
        <f t="shared" si="12"/>
        <v>229.89513357396123</v>
      </c>
    </row>
    <row r="51" spans="23:26" x14ac:dyDescent="0.25">
      <c r="W51" s="1">
        <f t="shared" si="9"/>
        <v>40</v>
      </c>
      <c r="X51" s="1">
        <f t="shared" si="10"/>
        <v>342810.16850979876</v>
      </c>
      <c r="Y51" s="1">
        <f t="shared" si="11"/>
        <v>229.96142179779122</v>
      </c>
      <c r="Z51" s="1">
        <f t="shared" si="12"/>
        <v>229.96142179779122</v>
      </c>
    </row>
    <row r="52" spans="23:26" x14ac:dyDescent="0.25">
      <c r="W52" s="1">
        <f t="shared" si="9"/>
        <v>45</v>
      </c>
      <c r="X52" s="1">
        <f t="shared" si="10"/>
        <v>931854.65167116921</v>
      </c>
      <c r="Y52" s="1">
        <f t="shared" si="11"/>
        <v>229.98580787253005</v>
      </c>
      <c r="Z52" s="1">
        <f t="shared" si="12"/>
        <v>229.98580787253005</v>
      </c>
    </row>
    <row r="53" spans="23:26" x14ac:dyDescent="0.25">
      <c r="W53" s="1">
        <f t="shared" si="9"/>
        <v>50</v>
      </c>
      <c r="X53" s="1">
        <f t="shared" si="10"/>
        <v>2533043.5664027724</v>
      </c>
      <c r="Y53" s="1">
        <f t="shared" si="11"/>
        <v>229.9947790080773</v>
      </c>
      <c r="Z53" s="1">
        <f t="shared" si="12"/>
        <v>229.9947790080773</v>
      </c>
    </row>
    <row r="54" spans="23:26" x14ac:dyDescent="0.25">
      <c r="W54" s="1">
        <f t="shared" si="9"/>
        <v>55</v>
      </c>
      <c r="X54" s="1">
        <f t="shared" si="10"/>
        <v>6885526.2972477488</v>
      </c>
      <c r="Y54" s="1">
        <f t="shared" si="11"/>
        <v>229.99807930440912</v>
      </c>
      <c r="Z54" s="1">
        <f t="shared" si="12"/>
        <v>229.99807930440912</v>
      </c>
    </row>
    <row r="55" spans="23:26" x14ac:dyDescent="0.25">
      <c r="W55" s="1">
        <f t="shared" si="9"/>
        <v>60</v>
      </c>
      <c r="X55" s="1">
        <f t="shared" si="10"/>
        <v>18716801.013185449</v>
      </c>
      <c r="Y55" s="1">
        <f t="shared" si="11"/>
        <v>229.99929341557936</v>
      </c>
      <c r="Z55" s="1">
        <f t="shared" si="12"/>
        <v>229.99929341557936</v>
      </c>
    </row>
    <row r="56" spans="23:26" x14ac:dyDescent="0.25">
      <c r="W56" s="1">
        <f t="shared" si="9"/>
        <v>65</v>
      </c>
      <c r="X56" s="1">
        <f t="shared" si="10"/>
        <v>50877540.081025854</v>
      </c>
      <c r="Y56" s="1">
        <f t="shared" si="11"/>
        <v>229.99974006211821</v>
      </c>
      <c r="Z56" s="1">
        <f t="shared" si="12"/>
        <v>229.99974006211821</v>
      </c>
    </row>
    <row r="57" spans="23:26" x14ac:dyDescent="0.25">
      <c r="W57" s="1">
        <f t="shared" si="9"/>
        <v>70</v>
      </c>
      <c r="X57" s="1">
        <f t="shared" si="10"/>
        <v>138299492.67894933</v>
      </c>
      <c r="Y57" s="1">
        <f t="shared" si="11"/>
        <v>229.99990437419731</v>
      </c>
      <c r="Z57" s="1">
        <f t="shared" si="12"/>
        <v>229.99990437419731</v>
      </c>
    </row>
    <row r="58" spans="23:26" x14ac:dyDescent="0.25">
      <c r="W58" s="1">
        <f>W57+5</f>
        <v>75</v>
      </c>
      <c r="X58" s="1">
        <f t="shared" si="10"/>
        <v>375936997.83429271</v>
      </c>
      <c r="Y58" s="1">
        <f t="shared" si="11"/>
        <v>229.99996482123314</v>
      </c>
      <c r="Z58" s="1">
        <f t="shared" si="12"/>
        <v>229.99996482123314</v>
      </c>
    </row>
    <row r="59" spans="23:26" x14ac:dyDescent="0.25">
      <c r="W59" s="1">
        <f t="shared" si="9"/>
        <v>80</v>
      </c>
      <c r="X59" s="1">
        <f t="shared" si="10"/>
        <v>1021902709.8584054</v>
      </c>
      <c r="Y59" s="1">
        <f t="shared" si="11"/>
        <v>229.99998705845491</v>
      </c>
      <c r="Z59" s="1">
        <f t="shared" si="12"/>
        <v>229.99998705845491</v>
      </c>
    </row>
    <row r="60" spans="23:26" x14ac:dyDescent="0.25">
      <c r="W60" s="1">
        <f t="shared" si="9"/>
        <v>85</v>
      </c>
      <c r="X60" s="1">
        <f t="shared" si="10"/>
        <v>2777819566.6611595</v>
      </c>
      <c r="Y60" s="1">
        <f t="shared" si="11"/>
        <v>229.99999523907164</v>
      </c>
      <c r="Z60" s="1">
        <f t="shared" si="12"/>
        <v>229.99999523907164</v>
      </c>
    </row>
    <row r="61" spans="23:26" x14ac:dyDescent="0.25">
      <c r="W61" s="1">
        <f t="shared" si="9"/>
        <v>90</v>
      </c>
      <c r="X61" s="1">
        <f t="shared" si="10"/>
        <v>7550896450.7930088</v>
      </c>
      <c r="Y61" s="1">
        <f t="shared" si="11"/>
        <v>229.99999824855232</v>
      </c>
      <c r="Z61" s="1">
        <f t="shared" si="12"/>
        <v>229.99999824855232</v>
      </c>
    </row>
    <row r="62" spans="23:26" x14ac:dyDescent="0.25">
      <c r="W62" s="1">
        <f t="shared" si="9"/>
        <v>95</v>
      </c>
      <c r="X62" s="1">
        <f t="shared" si="10"/>
        <v>20525464610.766533</v>
      </c>
      <c r="Y62" s="1">
        <f t="shared" si="11"/>
        <v>229.9999993556784</v>
      </c>
      <c r="Z62" s="1">
        <f t="shared" si="12"/>
        <v>229.9999993556784</v>
      </c>
    </row>
    <row r="63" spans="23:26" x14ac:dyDescent="0.25">
      <c r="W63" s="1">
        <f t="shared" si="9"/>
        <v>100</v>
      </c>
      <c r="X63" s="1">
        <f t="shared" si="10"/>
        <v>55793997472.125885</v>
      </c>
      <c r="Y63" s="1">
        <f t="shared" si="11"/>
        <v>229.99999976296732</v>
      </c>
      <c r="Z63" s="1">
        <f t="shared" si="12"/>
        <v>229.99999976296732</v>
      </c>
    </row>
    <row r="64" spans="23:26" x14ac:dyDescent="0.25">
      <c r="W64" s="1">
        <f t="shared" si="9"/>
        <v>105</v>
      </c>
      <c r="X64" s="1">
        <f t="shared" si="10"/>
        <v>151663809465.56967</v>
      </c>
      <c r="Y64" s="1">
        <f t="shared" si="11"/>
        <v>229.99999991280055</v>
      </c>
      <c r="Z64" s="1">
        <f t="shared" si="12"/>
        <v>229.99999991280055</v>
      </c>
    </row>
    <row r="65" spans="23:26" x14ac:dyDescent="0.25">
      <c r="W65" s="1">
        <f t="shared" si="9"/>
        <v>110</v>
      </c>
      <c r="X65" s="1">
        <f t="shared" si="10"/>
        <v>412264977305.13306</v>
      </c>
      <c r="Y65" s="1">
        <f t="shared" si="11"/>
        <v>229.99999996792113</v>
      </c>
      <c r="Z65" s="1">
        <f t="shared" si="12"/>
        <v>229.99999996792113</v>
      </c>
    </row>
    <row r="66" spans="23:26" x14ac:dyDescent="0.25">
      <c r="W66" s="1">
        <f t="shared" si="9"/>
        <v>115</v>
      </c>
      <c r="X66" s="1">
        <f t="shared" si="10"/>
        <v>1120652396318.6238</v>
      </c>
      <c r="Y66" s="1">
        <f t="shared" si="11"/>
        <v>229.99999998819885</v>
      </c>
      <c r="Z66" s="1">
        <f t="shared" si="12"/>
        <v>229.99999998819885</v>
      </c>
    </row>
    <row r="67" spans="23:26" x14ac:dyDescent="0.25">
      <c r="W67" s="1">
        <f t="shared" si="9"/>
        <v>120</v>
      </c>
      <c r="X67" s="1">
        <f t="shared" ref="X67:X103" si="13">LS+(US-LS)/(1+p)*EXP((1+p)/(2*C_Kohout)*($W67-T0_Kohout))</f>
        <v>3046249044931.999</v>
      </c>
      <c r="Y67" s="1">
        <f t="shared" ref="Y67:Y103" si="14">US-p*(US-LS)/(1+p)*EXP(-(1+p)/(2*p*C_Kohout)*($W67-T0_Kohout))</f>
        <v>229.99999999565858</v>
      </c>
      <c r="Z67" s="1">
        <f t="shared" ref="Z67:Z103" si="15">IF($W67&lt;=T0_Kohout,$X67,$Y67)</f>
        <v>229.99999999565858</v>
      </c>
    </row>
    <row r="68" spans="23:26" x14ac:dyDescent="0.25">
      <c r="W68" s="1">
        <f t="shared" si="9"/>
        <v>125</v>
      </c>
      <c r="X68" s="1">
        <f t="shared" si="13"/>
        <v>8280563423799.376</v>
      </c>
      <c r="Y68" s="1">
        <f t="shared" si="14"/>
        <v>229.9999999984029</v>
      </c>
      <c r="Z68" s="1">
        <f t="shared" si="15"/>
        <v>229.9999999984029</v>
      </c>
    </row>
    <row r="69" spans="23:26" x14ac:dyDescent="0.25">
      <c r="W69" s="1">
        <f t="shared" ref="W69:W76" si="16">W68+5</f>
        <v>130</v>
      </c>
      <c r="X69" s="1">
        <f t="shared" si="13"/>
        <v>22508905084316.461</v>
      </c>
      <c r="Y69" s="1">
        <f t="shared" si="14"/>
        <v>229.99999999941247</v>
      </c>
      <c r="Z69" s="1">
        <f t="shared" si="15"/>
        <v>229.99999999941247</v>
      </c>
    </row>
    <row r="70" spans="23:26" x14ac:dyDescent="0.25">
      <c r="W70" s="1">
        <f t="shared" si="16"/>
        <v>135</v>
      </c>
      <c r="X70" s="1">
        <f t="shared" si="13"/>
        <v>61185547669206.844</v>
      </c>
      <c r="Y70" s="1">
        <f t="shared" si="14"/>
        <v>229.99999999978385</v>
      </c>
      <c r="Z70" s="1">
        <f t="shared" si="15"/>
        <v>229.99999999978385</v>
      </c>
    </row>
    <row r="71" spans="23:26" x14ac:dyDescent="0.25">
      <c r="W71" s="1">
        <f t="shared" si="16"/>
        <v>140</v>
      </c>
      <c r="X71" s="1">
        <f t="shared" si="13"/>
        <v>166319562393519.63</v>
      </c>
      <c r="Y71" s="1">
        <f t="shared" si="14"/>
        <v>229.99999999992048</v>
      </c>
      <c r="Z71" s="1">
        <f t="shared" si="15"/>
        <v>229.99999999992048</v>
      </c>
    </row>
    <row r="72" spans="23:26" x14ac:dyDescent="0.25">
      <c r="W72" s="1">
        <f t="shared" si="16"/>
        <v>145</v>
      </c>
      <c r="X72" s="1">
        <f t="shared" si="13"/>
        <v>452103444171564.81</v>
      </c>
      <c r="Y72" s="1">
        <f t="shared" si="14"/>
        <v>229.99999999997075</v>
      </c>
      <c r="Z72" s="1">
        <f t="shared" si="15"/>
        <v>229.99999999997075</v>
      </c>
    </row>
    <row r="73" spans="23:26" x14ac:dyDescent="0.25">
      <c r="W73" s="1">
        <f t="shared" si="16"/>
        <v>150</v>
      </c>
      <c r="X73" s="1">
        <f t="shared" si="13"/>
        <v>1228944576875313.3</v>
      </c>
      <c r="Y73" s="1">
        <f t="shared" si="14"/>
        <v>229.99999999998923</v>
      </c>
      <c r="Z73" s="1">
        <f t="shared" si="15"/>
        <v>229.99999999998923</v>
      </c>
    </row>
    <row r="74" spans="23:26" x14ac:dyDescent="0.25">
      <c r="W74" s="1">
        <f t="shared" si="16"/>
        <v>155</v>
      </c>
      <c r="X74" s="1">
        <f t="shared" si="13"/>
        <v>3340617711503454</v>
      </c>
      <c r="Y74" s="1">
        <f t="shared" si="14"/>
        <v>229.99999999999605</v>
      </c>
      <c r="Z74" s="1">
        <f t="shared" si="15"/>
        <v>229.99999999999605</v>
      </c>
    </row>
    <row r="75" spans="23:26" x14ac:dyDescent="0.25">
      <c r="W75" s="1">
        <f t="shared" si="16"/>
        <v>160</v>
      </c>
      <c r="X75" s="1">
        <f t="shared" si="13"/>
        <v>9080740421008280</v>
      </c>
      <c r="Y75" s="1">
        <f t="shared" si="14"/>
        <v>229.99999999999855</v>
      </c>
      <c r="Z75" s="1">
        <f t="shared" si="15"/>
        <v>229.99999999999855</v>
      </c>
    </row>
    <row r="76" spans="23:26" x14ac:dyDescent="0.25">
      <c r="W76" s="1">
        <f t="shared" si="16"/>
        <v>165</v>
      </c>
      <c r="X76" s="1">
        <f t="shared" si="13"/>
        <v>2.4684011675380348E+16</v>
      </c>
      <c r="Y76" s="1">
        <f t="shared" si="14"/>
        <v>229.99999999999946</v>
      </c>
      <c r="Z76" s="1">
        <f t="shared" si="15"/>
        <v>229.99999999999946</v>
      </c>
    </row>
    <row r="77" spans="23:26" x14ac:dyDescent="0.25">
      <c r="W77" s="1">
        <f>W76+5</f>
        <v>170</v>
      </c>
      <c r="X77" s="1">
        <f t="shared" si="13"/>
        <v>6.7098100390657312E+16</v>
      </c>
      <c r="Y77" s="1">
        <f t="shared" si="14"/>
        <v>229.9999999999998</v>
      </c>
      <c r="Z77" s="1">
        <f t="shared" si="15"/>
        <v>229.9999999999998</v>
      </c>
    </row>
    <row r="78" spans="23:26" x14ac:dyDescent="0.25">
      <c r="W78" s="1">
        <f t="shared" ref="W78:W88" si="17">W77+5</f>
        <v>175</v>
      </c>
      <c r="X78" s="1">
        <f t="shared" si="13"/>
        <v>1.8239154701604454E+17</v>
      </c>
      <c r="Y78" s="1">
        <f t="shared" si="14"/>
        <v>229.99999999999991</v>
      </c>
      <c r="Z78" s="1">
        <f t="shared" si="15"/>
        <v>229.99999999999991</v>
      </c>
    </row>
    <row r="79" spans="23:26" x14ac:dyDescent="0.25">
      <c r="W79" s="1">
        <f t="shared" si="17"/>
        <v>180</v>
      </c>
      <c r="X79" s="1">
        <f t="shared" si="13"/>
        <v>4.9579162791824742E+17</v>
      </c>
      <c r="Y79" s="1">
        <f t="shared" si="14"/>
        <v>229.99999999999997</v>
      </c>
      <c r="Z79" s="1">
        <f t="shared" si="15"/>
        <v>229.99999999999997</v>
      </c>
    </row>
    <row r="80" spans="23:26" x14ac:dyDescent="0.25">
      <c r="W80" s="1">
        <f t="shared" si="17"/>
        <v>185</v>
      </c>
      <c r="X80" s="1">
        <f t="shared" si="13"/>
        <v>1.3477013728723003E+18</v>
      </c>
      <c r="Y80" s="1">
        <f t="shared" si="14"/>
        <v>230</v>
      </c>
      <c r="Z80" s="1">
        <f t="shared" si="15"/>
        <v>230</v>
      </c>
    </row>
    <row r="81" spans="23:26" x14ac:dyDescent="0.25">
      <c r="W81" s="1">
        <f t="shared" si="17"/>
        <v>190</v>
      </c>
      <c r="X81" s="1">
        <f t="shared" si="13"/>
        <v>3.6634321520680822E+18</v>
      </c>
      <c r="Y81" s="1">
        <f t="shared" si="14"/>
        <v>230</v>
      </c>
      <c r="Z81" s="1">
        <f t="shared" si="15"/>
        <v>230</v>
      </c>
    </row>
    <row r="82" spans="23:26" x14ac:dyDescent="0.25">
      <c r="W82" s="1">
        <f t="shared" si="17"/>
        <v>195</v>
      </c>
      <c r="X82" s="1">
        <f t="shared" si="13"/>
        <v>9.9582410487592796E+18</v>
      </c>
      <c r="Y82" s="1">
        <f t="shared" si="14"/>
        <v>230</v>
      </c>
      <c r="Z82" s="1">
        <f t="shared" si="15"/>
        <v>230</v>
      </c>
    </row>
    <row r="83" spans="23:26" x14ac:dyDescent="0.25">
      <c r="W83" s="1">
        <f t="shared" si="17"/>
        <v>200</v>
      </c>
      <c r="X83" s="1">
        <f t="shared" si="13"/>
        <v>2.7069305686257299E+19</v>
      </c>
      <c r="Y83" s="1">
        <f t="shared" si="14"/>
        <v>230</v>
      </c>
      <c r="Z83" s="1">
        <f t="shared" si="15"/>
        <v>230</v>
      </c>
    </row>
    <row r="84" spans="23:26" x14ac:dyDescent="0.25">
      <c r="W84" s="1">
        <f t="shared" si="17"/>
        <v>205</v>
      </c>
      <c r="X84" s="1">
        <f t="shared" si="13"/>
        <v>7.3582001755956314E+19</v>
      </c>
      <c r="Y84" s="1">
        <f t="shared" si="14"/>
        <v>230</v>
      </c>
      <c r="Z84" s="1">
        <f t="shared" si="15"/>
        <v>230</v>
      </c>
    </row>
    <row r="85" spans="23:26" x14ac:dyDescent="0.25">
      <c r="W85" s="1">
        <f t="shared" si="17"/>
        <v>210</v>
      </c>
      <c r="X85" s="1">
        <f t="shared" si="13"/>
        <v>2.0001661827485762E+20</v>
      </c>
      <c r="Y85" s="1">
        <f t="shared" si="14"/>
        <v>230</v>
      </c>
      <c r="Z85" s="1">
        <f t="shared" si="15"/>
        <v>230</v>
      </c>
    </row>
    <row r="86" spans="23:26" x14ac:dyDescent="0.25">
      <c r="W86" s="1">
        <f t="shared" si="17"/>
        <v>215</v>
      </c>
      <c r="X86" s="1">
        <f t="shared" si="13"/>
        <v>5.4370153884637482E+20</v>
      </c>
      <c r="Y86" s="1">
        <f t="shared" si="14"/>
        <v>230</v>
      </c>
      <c r="Z86" s="1">
        <f t="shared" si="15"/>
        <v>230</v>
      </c>
    </row>
    <row r="87" spans="23:26" x14ac:dyDescent="0.25">
      <c r="W87" s="1">
        <f t="shared" si="17"/>
        <v>220</v>
      </c>
      <c r="X87" s="1">
        <f t="shared" si="13"/>
        <v>1.4779340131513205E+21</v>
      </c>
      <c r="Y87" s="1">
        <f t="shared" si="14"/>
        <v>230</v>
      </c>
      <c r="Z87" s="1">
        <f t="shared" si="15"/>
        <v>230</v>
      </c>
    </row>
    <row r="88" spans="23:26" x14ac:dyDescent="0.25">
      <c r="W88" s="1">
        <f t="shared" si="17"/>
        <v>225</v>
      </c>
      <c r="X88" s="1">
        <f t="shared" si="13"/>
        <v>4.0174411716107861E+21</v>
      </c>
      <c r="Y88" s="1">
        <f t="shared" si="14"/>
        <v>230</v>
      </c>
      <c r="Z88" s="1">
        <f t="shared" si="15"/>
        <v>230</v>
      </c>
    </row>
    <row r="89" spans="23:26" x14ac:dyDescent="0.25">
      <c r="W89" s="1">
        <f>W88+5</f>
        <v>230</v>
      </c>
      <c r="X89" s="1">
        <f t="shared" si="13"/>
        <v>1.0920537333692816E+22</v>
      </c>
      <c r="Y89" s="1">
        <f t="shared" si="14"/>
        <v>230</v>
      </c>
      <c r="Z89" s="1">
        <f t="shared" si="15"/>
        <v>230</v>
      </c>
    </row>
    <row r="90" spans="23:26" x14ac:dyDescent="0.25">
      <c r="W90" s="1">
        <f t="shared" ref="W90:W97" si="18">W89+5</f>
        <v>235</v>
      </c>
      <c r="X90" s="1">
        <f t="shared" si="13"/>
        <v>2.9685098191185777E+22</v>
      </c>
      <c r="Y90" s="1">
        <f t="shared" si="14"/>
        <v>230</v>
      </c>
      <c r="Z90" s="1">
        <f t="shared" si="15"/>
        <v>230</v>
      </c>
    </row>
    <row r="91" spans="23:26" x14ac:dyDescent="0.25">
      <c r="W91" s="1">
        <f t="shared" si="18"/>
        <v>240</v>
      </c>
      <c r="X91" s="1">
        <f t="shared" si="13"/>
        <v>8.0692462989122755E+22</v>
      </c>
      <c r="Y91" s="1">
        <f t="shared" si="14"/>
        <v>230</v>
      </c>
      <c r="Z91" s="1">
        <f t="shared" si="15"/>
        <v>230</v>
      </c>
    </row>
    <row r="92" spans="23:26" x14ac:dyDescent="0.25">
      <c r="W92" s="1">
        <f t="shared" si="18"/>
        <v>245</v>
      </c>
      <c r="X92" s="1">
        <f t="shared" si="13"/>
        <v>2.1934485583693648E+23</v>
      </c>
      <c r="Y92" s="1">
        <f t="shared" si="14"/>
        <v>230</v>
      </c>
      <c r="Z92" s="1">
        <f t="shared" si="15"/>
        <v>230</v>
      </c>
    </row>
    <row r="93" spans="23:26" x14ac:dyDescent="0.25">
      <c r="W93" s="1">
        <f t="shared" si="18"/>
        <v>250</v>
      </c>
      <c r="X93" s="1">
        <f t="shared" si="13"/>
        <v>5.9624113578751329E+23</v>
      </c>
      <c r="Y93" s="1">
        <f t="shared" si="14"/>
        <v>230</v>
      </c>
      <c r="Z93" s="1">
        <f t="shared" si="15"/>
        <v>230</v>
      </c>
    </row>
    <row r="94" spans="23:26" x14ac:dyDescent="0.25">
      <c r="W94" s="1">
        <f t="shared" si="18"/>
        <v>255</v>
      </c>
      <c r="X94" s="1">
        <f t="shared" si="13"/>
        <v>1.6207514447909796E+24</v>
      </c>
      <c r="Y94" s="1">
        <f t="shared" si="14"/>
        <v>230</v>
      </c>
      <c r="Z94" s="1">
        <f t="shared" si="15"/>
        <v>230</v>
      </c>
    </row>
    <row r="95" spans="23:26" x14ac:dyDescent="0.25">
      <c r="W95" s="1">
        <f t="shared" si="18"/>
        <v>260</v>
      </c>
      <c r="X95" s="1">
        <f t="shared" si="13"/>
        <v>4.4056592008240637E+24</v>
      </c>
      <c r="Y95" s="1">
        <f t="shared" si="14"/>
        <v>230</v>
      </c>
      <c r="Z95" s="1">
        <f t="shared" si="15"/>
        <v>230</v>
      </c>
    </row>
    <row r="96" spans="23:26" x14ac:dyDescent="0.25">
      <c r="W96" s="1">
        <f t="shared" si="18"/>
        <v>265</v>
      </c>
      <c r="X96" s="1">
        <f t="shared" si="13"/>
        <v>1.1975823347983452E+25</v>
      </c>
      <c r="Y96" s="1">
        <f t="shared" si="14"/>
        <v>230</v>
      </c>
      <c r="Z96" s="1">
        <f t="shared" si="15"/>
        <v>230</v>
      </c>
    </row>
    <row r="97" spans="23:26" x14ac:dyDescent="0.25">
      <c r="W97" s="1">
        <f t="shared" si="18"/>
        <v>270</v>
      </c>
      <c r="X97" s="1">
        <f t="shared" si="13"/>
        <v>3.255366298765898E+25</v>
      </c>
      <c r="Y97" s="1">
        <f t="shared" si="14"/>
        <v>230</v>
      </c>
      <c r="Z97" s="1">
        <f t="shared" si="15"/>
        <v>230</v>
      </c>
    </row>
    <row r="98" spans="23:26" x14ac:dyDescent="0.25">
      <c r="W98" s="1">
        <f>W97+5</f>
        <v>275</v>
      </c>
      <c r="X98" s="1">
        <f t="shared" si="13"/>
        <v>8.8490030549133194E+25</v>
      </c>
      <c r="Y98" s="1">
        <f t="shared" si="14"/>
        <v>230</v>
      </c>
      <c r="Z98" s="1">
        <f t="shared" si="15"/>
        <v>230</v>
      </c>
    </row>
    <row r="99" spans="23:26" x14ac:dyDescent="0.25">
      <c r="W99" s="1">
        <f t="shared" ref="W99:W101" si="19">W98+5</f>
        <v>280</v>
      </c>
      <c r="X99" s="1">
        <f t="shared" si="13"/>
        <v>2.4054084204149455E+26</v>
      </c>
      <c r="Y99" s="1">
        <f t="shared" si="14"/>
        <v>230</v>
      </c>
      <c r="Z99" s="1">
        <f t="shared" si="15"/>
        <v>230</v>
      </c>
    </row>
    <row r="100" spans="23:26" x14ac:dyDescent="0.25">
      <c r="W100" s="1">
        <f t="shared" si="19"/>
        <v>285</v>
      </c>
      <c r="X100" s="1">
        <f t="shared" si="13"/>
        <v>6.5385779992363223E+26</v>
      </c>
      <c r="Y100" s="1">
        <f t="shared" si="14"/>
        <v>230</v>
      </c>
      <c r="Z100" s="1">
        <f t="shared" si="15"/>
        <v>230</v>
      </c>
    </row>
    <row r="101" spans="23:26" x14ac:dyDescent="0.25">
      <c r="W101" s="1">
        <f t="shared" si="19"/>
        <v>290</v>
      </c>
      <c r="X101" s="1">
        <f t="shared" si="13"/>
        <v>1.7773697759286194E+27</v>
      </c>
      <c r="Y101" s="1">
        <f t="shared" si="14"/>
        <v>230</v>
      </c>
      <c r="Z101" s="1">
        <f t="shared" si="15"/>
        <v>230</v>
      </c>
    </row>
    <row r="102" spans="23:26" x14ac:dyDescent="0.25">
      <c r="W102" s="1">
        <f>W101+5</f>
        <v>295</v>
      </c>
      <c r="X102" s="1">
        <f t="shared" si="13"/>
        <v>4.8313919643590917E+27</v>
      </c>
      <c r="Y102" s="1">
        <f t="shared" si="14"/>
        <v>230</v>
      </c>
      <c r="Z102" s="1">
        <f t="shared" si="15"/>
        <v>230</v>
      </c>
    </row>
    <row r="103" spans="23:26" x14ac:dyDescent="0.25">
      <c r="W103" s="1">
        <f t="shared" ref="W103" si="20">W102+5</f>
        <v>300</v>
      </c>
      <c r="X103" s="1">
        <f t="shared" si="13"/>
        <v>1.3133084982880369E+28</v>
      </c>
      <c r="Y103" s="1">
        <f t="shared" si="14"/>
        <v>230</v>
      </c>
      <c r="Z103" s="1">
        <f t="shared" si="15"/>
        <v>230</v>
      </c>
    </row>
  </sheetData>
  <mergeCells count="4">
    <mergeCell ref="A1:F1"/>
    <mergeCell ref="X1:X2"/>
    <mergeCell ref="Y1:Y2"/>
    <mergeCell ref="Z1:Z2"/>
  </mergeCells>
  <conditionalFormatting sqref="D4:E35">
    <cfRule type="expression" dxfId="0" priority="1">
      <formula>ISNA($D4)</formula>
    </cfRule>
  </conditionalFormatting>
  <dataValidations count="2">
    <dataValidation type="decimal" operator="greaterThan" allowBlank="1" showInputMessage="1" showErrorMessage="1" errorTitle="ERROR" error="Zero or negative values are not allowed" promptTitle="Zero/negative values not allowed" sqref="C44" xr:uid="{73F84C8B-AFFB-4A13-A4FE-1C2D8994B516}">
      <formula1>0</formula1>
    </dataValidation>
    <dataValidation type="whole" operator="greaterThan" allowBlank="1" showInputMessage="1" showErrorMessage="1" errorTitle="ERROR" error="Zero or negative values are not allowed" promptTitle="Zero/negative values not allowed" sqref="C42" xr:uid="{1F1F5174-D100-4753-A855-BDABE168592A}">
      <formula1>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_increase">
                <anchor moveWithCells="1" sizeWithCells="1">
                  <from>
                    <xdr:col>3</xdr:col>
                    <xdr:colOff>600075</xdr:colOff>
                    <xdr:row>40</xdr:row>
                    <xdr:rowOff>180975</xdr:rowOff>
                  </from>
                  <to>
                    <xdr:col>5</xdr:col>
                    <xdr:colOff>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_decrease">
                <anchor moveWithCells="1" sizeWithCells="1">
                  <from>
                    <xdr:col>5</xdr:col>
                    <xdr:colOff>9525</xdr:colOff>
                    <xdr:row>40</xdr:row>
                    <xdr:rowOff>180975</xdr:rowOff>
                  </from>
                  <to>
                    <xdr:col>6</xdr:col>
                    <xdr:colOff>9525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0Burr_increase">
                <anchor moveWithCells="1" sizeWithCells="1">
                  <from>
                    <xdr:col>3</xdr:col>
                    <xdr:colOff>600075</xdr:colOff>
                    <xdr:row>42</xdr:row>
                    <xdr:rowOff>9525</xdr:rowOff>
                  </from>
                  <to>
                    <xdr:col>5</xdr:col>
                    <xdr:colOff>0</xdr:colOff>
                    <xdr:row>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0Burr_decrease">
                <anchor moveWithCells="1" sizeWithCells="1">
                  <from>
                    <xdr:col>5</xdr:col>
                    <xdr:colOff>0</xdr:colOff>
                    <xdr:row>42</xdr:row>
                    <xdr:rowOff>9525</xdr:rowOff>
                  </from>
                  <to>
                    <xdr:col>6</xdr:col>
                    <xdr:colOff>9525</xdr:colOff>
                    <xdr:row>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m_plus">
                <anchor moveWithCells="1" sizeWithCells="1">
                  <from>
                    <xdr:col>3</xdr:col>
                    <xdr:colOff>600075</xdr:colOff>
                    <xdr:row>42</xdr:row>
                    <xdr:rowOff>219075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m_minus">
                <anchor moveWithCells="1" sizeWithCells="1">
                  <from>
                    <xdr:col>5</xdr:col>
                    <xdr:colOff>9525</xdr:colOff>
                    <xdr:row>42</xdr:row>
                    <xdr:rowOff>219075</xdr:rowOff>
                  </from>
                  <to>
                    <xdr:col>6</xdr:col>
                    <xdr:colOff>9525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m_plus">
                <anchor moveWithCells="1" sizeWithCells="1">
                  <from>
                    <xdr:col>3</xdr:col>
                    <xdr:colOff>600075</xdr:colOff>
                    <xdr:row>42</xdr:row>
                    <xdr:rowOff>180975</xdr:rowOff>
                  </from>
                  <to>
                    <xdr:col>5</xdr:col>
                    <xdr:colOff>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Reset_Kohout">
                <anchor moveWithCells="1" sizeWithCells="1">
                  <from>
                    <xdr:col>6</xdr:col>
                    <xdr:colOff>238125</xdr:colOff>
                    <xdr:row>41</xdr:row>
                    <xdr:rowOff>123825</xdr:rowOff>
                  </from>
                  <to>
                    <xdr:col>7</xdr:col>
                    <xdr:colOff>257175</xdr:colOff>
                    <xdr:row>43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29</vt:i4>
      </vt:variant>
    </vt:vector>
  </HeadingPairs>
  <TitlesOfParts>
    <vt:vector size="32" baseType="lpstr">
      <vt:lpstr>AHT</vt:lpstr>
      <vt:lpstr>BUR</vt:lpstr>
      <vt:lpstr>KHT</vt:lpstr>
      <vt:lpstr>C_ATANH</vt:lpstr>
      <vt:lpstr>C_Kohout</vt:lpstr>
      <vt:lpstr>D_ATANH</vt:lpstr>
      <vt:lpstr>DBTT_Burr</vt:lpstr>
      <vt:lpstr>DBTT_Kohout</vt:lpstr>
      <vt:lpstr>DBTT1_KASYM</vt:lpstr>
      <vt:lpstr>DBTT2_KASYM</vt:lpstr>
      <vt:lpstr>Fit_ATANH</vt:lpstr>
      <vt:lpstr>Fit_BURR</vt:lpstr>
      <vt:lpstr>Fit_KASYM</vt:lpstr>
      <vt:lpstr>Fit1_KASYM</vt:lpstr>
      <vt:lpstr>Fit2_KASYM</vt:lpstr>
      <vt:lpstr>k</vt:lpstr>
      <vt:lpstr>LS</vt:lpstr>
      <vt:lpstr>m</vt:lpstr>
      <vt:lpstr>p</vt:lpstr>
      <vt:lpstr>Residuals_ATANH</vt:lpstr>
      <vt:lpstr>Residuals_BURR</vt:lpstr>
      <vt:lpstr>Residuals_KASYM</vt:lpstr>
      <vt:lpstr>T0_ATANH</vt:lpstr>
      <vt:lpstr>AHT!T0_Burr</vt:lpstr>
      <vt:lpstr>KHT!T0_Burr</vt:lpstr>
      <vt:lpstr>T0_Burr</vt:lpstr>
      <vt:lpstr>T0_Kohout</vt:lpstr>
      <vt:lpstr>Temperatures</vt:lpstr>
      <vt:lpstr>US</vt:lpstr>
      <vt:lpstr>Xi_values</vt:lpstr>
      <vt:lpstr>AHT!Y_DBTT</vt:lpstr>
      <vt:lpstr>Y_values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Charpy Test Result Regression</dc:title>
  <dc:creator>Lucon, Enrico (Fed)</dc:creator>
  <cp:lastModifiedBy>Enrico Lucon</cp:lastModifiedBy>
  <dcterms:created xsi:type="dcterms:W3CDTF">2020-06-27T17:57:24Z</dcterms:created>
  <dcterms:modified xsi:type="dcterms:W3CDTF">2021-03-31T17:19:53Z</dcterms:modified>
</cp:coreProperties>
</file>