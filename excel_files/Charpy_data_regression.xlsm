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chartsheets/sheet1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omments2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ml.chartshapes+xml"/>
  <Override PartName="/xl/drawings/drawing4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omments3.xml" ContentType="application/vnd.openxmlformats-officedocument.spreadsheetml.comment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5.xml" ContentType="application/vnd.openxmlformats-officedocument.drawingml.chartshapes+xml"/>
  <Override PartName="/xl/drawings/drawing6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omments4.xml" ContentType="application/vnd.openxmlformats-officedocument.spreadsheetml.comment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7.xml" ContentType="application/vnd.openxmlformats-officedocument.drawingml.chartshapes+xml"/>
  <Override PartName="/xl/drawings/drawing8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omments5.xml" ContentType="application/vnd.openxmlformats-officedocument.spreadsheetml.comment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9.xml" ContentType="application/vnd.openxmlformats-officedocument.drawingml.chartshapes+xml"/>
  <Override PartName="/xl/drawings/drawing10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omments6.xml" ContentType="application/vnd.openxmlformats-officedocument.spreadsheetml.comment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11.xml" ContentType="application/vnd.openxmlformats-officedocument.drawingml.chartshapes+xml"/>
  <Override PartName="/xl/drawings/drawing12.xml" ContentType="application/vnd.openxmlformats-officedocument.drawing+xml"/>
  <Override PartName="/xl/ctrlProps/ctrlProp18.xml" ContentType="application/vnd.ms-excel.controlproperties+xml"/>
  <Override PartName="/xl/charts/chart6.xml" ContentType="application/vnd.openxmlformats-officedocument.drawingml.chart+xml"/>
  <Override PartName="/xl/drawings/drawing13.xml" ContentType="application/vnd.openxmlformats-officedocument.drawing+xml"/>
  <Override PartName="/xl/ctrlProps/ctrlProp19.xml" ContentType="application/vnd.ms-excel.controlproperties+xml"/>
  <Override PartName="/xl/drawings/drawing14.xml" ContentType="application/vnd.openxmlformats-officedocument.drawing+xml"/>
  <Override PartName="/xl/charts/chart7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updateLinks="never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Charpy\Charpy software\Excel\Transition curve fitting\"/>
    </mc:Choice>
  </mc:AlternateContent>
  <xr:revisionPtr revIDLastSave="0" documentId="13_ncr:1_{222900B9-E59E-433E-B818-64486513F384}" xr6:coauthVersionLast="45" xr6:coauthVersionMax="45" xr10:uidLastSave="{00000000-0000-0000-0000-000000000000}"/>
  <bookViews>
    <workbookView xWindow="-120" yWindow="-120" windowWidth="29040" windowHeight="15990" activeTab="8" xr2:uid="{CF401CBB-FD4F-4406-9087-50B56AD56DE8}"/>
  </bookViews>
  <sheets>
    <sheet name="Input data" sheetId="1" r:id="rId1"/>
    <sheet name="HT" sheetId="8" r:id="rId2"/>
    <sheet name="AHT" sheetId="10" r:id="rId3"/>
    <sheet name="BUR" sheetId="4" r:id="rId4"/>
    <sheet name="ACT" sheetId="5" r:id="rId5"/>
    <sheet name="KHT" sheetId="6" r:id="rId6"/>
    <sheet name="Summary of Results" sheetId="7" r:id="rId7"/>
    <sheet name="Characteristic Temperatures" sheetId="11" r:id="rId8"/>
    <sheet name="Comparison Fitting Curves" sheetId="9" r:id="rId9"/>
  </sheets>
  <definedNames>
    <definedName name="A">'Input data'!$E$35</definedName>
    <definedName name="AIC_ARCTAN">ACT!$C$45</definedName>
    <definedName name="AIC_ATANH">AHT!$C$45</definedName>
    <definedName name="AIC_BURR">BUR!$C$45</definedName>
    <definedName name="AIC_KASYM">KHT!$C$45</definedName>
    <definedName name="AIC_TANH">HT!$C$45</definedName>
    <definedName name="B">'Input data'!$E$36</definedName>
    <definedName name="BIC_ARCTAN">ACT!$C$46</definedName>
    <definedName name="BIC_ATANH">AHT!$C$46</definedName>
    <definedName name="BIC_BURR">BUR!$C$46</definedName>
    <definedName name="BIC_KASYM">KHT!$C$46</definedName>
    <definedName name="BIC_TANH">HT!$C$46</definedName>
    <definedName name="C_ARCTAN">ACT!$B$36</definedName>
    <definedName name="C_ATANH">AHT!$B$36</definedName>
    <definedName name="C_KASYM">KHT!$B$36</definedName>
    <definedName name="C_TANH">HT!$B$36</definedName>
    <definedName name="D_ATANH">AHT!$B$37</definedName>
    <definedName name="Dataset_ID">'Input data'!$I$6</definedName>
    <definedName name="DBTT_ARCTAN">ACT!$B$35</definedName>
    <definedName name="DBTT_ATANH">AHT!$B$35</definedName>
    <definedName name="DBTT_Burr">BUR!$E$35</definedName>
    <definedName name="DBTT_KASYM">KHT!$E$35</definedName>
    <definedName name="DBTT_TANH">HT!$B$35</definedName>
    <definedName name="DBTT1_KASYM">KHT!$E$34</definedName>
    <definedName name="DBTT2_KASYM">KHT!$F$34</definedName>
    <definedName name="df_ARCTAN">ACT!$B$40</definedName>
    <definedName name="df_ATANH">AHT!$B$40</definedName>
    <definedName name="df_Burr">BUR!$B$40</definedName>
    <definedName name="df_KASYM">KHT!$B$40</definedName>
    <definedName name="df_TANH">HT!$B$40</definedName>
    <definedName name="Fit_ARCTAN">ACT!$C$3:$C$32</definedName>
    <definedName name="Fit_ATANH">AHT!$C$3:$C$32</definedName>
    <definedName name="Fit_Burr">BUR!$D$3:$D$32</definedName>
    <definedName name="Fit_index">'Input data'!$I$3</definedName>
    <definedName name="Fit_KASYM">KHT!$E$3:$E$32</definedName>
    <definedName name="Fit_TANH">HT!$C$3:$C$32</definedName>
    <definedName name="Fit1_KASYM">KHT!$C$3:$C$32</definedName>
    <definedName name="Fit2_KASYM">KHT!$D$3:$D$32</definedName>
    <definedName name="k_Burr">BUR!$B$36</definedName>
    <definedName name="KV_data">'Input data'!$B$3:$B$32</definedName>
    <definedName name="LE_data">'Input data'!$C$3:$C$32</definedName>
    <definedName name="LS">'Input data'!$B$36</definedName>
    <definedName name="m_Burr">BUR!$B$37</definedName>
    <definedName name="p_KASYM">KHT!$B$37</definedName>
    <definedName name="_xlnm.Print_Area" localSheetId="7">'Characteristic Temperatures'!$A$1:$H$38</definedName>
    <definedName name="_xlnm.Print_Area" localSheetId="6">'Summary of Results'!$A$1:$H$43</definedName>
    <definedName name="Residual_ARCTAN">ACT!$D$3:$D$32</definedName>
    <definedName name="Residual_ATANH">AHT!$D$3:$D$32</definedName>
    <definedName name="Residual_KASYM">KHT!$F$3:$F$32</definedName>
    <definedName name="Residual_TANH">HT!$D$3:$D$32</definedName>
    <definedName name="Residuals_Burr">BUR!$E$3:$E$32</definedName>
    <definedName name="RMSE_ARCTAN">ACT!$B$41</definedName>
    <definedName name="RMSE_ATANH">AHT!$B$41</definedName>
    <definedName name="RMSE_Burr">BUR!$B$41</definedName>
    <definedName name="RMSE_KASYM">KHT!$B$41</definedName>
    <definedName name="RMSE_TANH">HT!$B$41</definedName>
    <definedName name="SFA_data">'Input data'!$D$3:$D$32</definedName>
    <definedName name="solver_adj" localSheetId="4" hidden="1">ACT!$B$35:$B$36</definedName>
    <definedName name="solver_adj" localSheetId="2" hidden="1">AHT!$B$35:$B$37</definedName>
    <definedName name="solver_adj" localSheetId="3" hidden="1">BUR!$B$35:$B$37</definedName>
    <definedName name="solver_adj" localSheetId="1" hidden="1">HT!$B$35:$B$36</definedName>
    <definedName name="solver_adj" localSheetId="5" hidden="1">KHT!$B$35:$B$37</definedName>
    <definedName name="solver_cvg" localSheetId="4" hidden="1">0.0001</definedName>
    <definedName name="solver_cvg" localSheetId="2" hidden="1">0.0001</definedName>
    <definedName name="solver_cvg" localSheetId="3" hidden="1">0.0001</definedName>
    <definedName name="solver_cvg" localSheetId="1" hidden="1">0.0001</definedName>
    <definedName name="solver_cvg" localSheetId="5" hidden="1">0.0001</definedName>
    <definedName name="solver_drv" localSheetId="4" hidden="1">1</definedName>
    <definedName name="solver_drv" localSheetId="2" hidden="1">1</definedName>
    <definedName name="solver_drv" localSheetId="3" hidden="1">1</definedName>
    <definedName name="solver_drv" localSheetId="1" hidden="1">1</definedName>
    <definedName name="solver_drv" localSheetId="5" hidden="1">1</definedName>
    <definedName name="solver_eng" localSheetId="4" hidden="1">1</definedName>
    <definedName name="solver_eng" localSheetId="2" hidden="1">1</definedName>
    <definedName name="solver_eng" localSheetId="3" hidden="1">1</definedName>
    <definedName name="solver_eng" localSheetId="1" hidden="1">1</definedName>
    <definedName name="solver_eng" localSheetId="5" hidden="1">1</definedName>
    <definedName name="solver_est" localSheetId="4" hidden="1">1</definedName>
    <definedName name="solver_est" localSheetId="2" hidden="1">1</definedName>
    <definedName name="solver_est" localSheetId="3" hidden="1">1</definedName>
    <definedName name="solver_est" localSheetId="1" hidden="1">1</definedName>
    <definedName name="solver_est" localSheetId="5" hidden="1">1</definedName>
    <definedName name="solver_itr" localSheetId="4" hidden="1">2147483647</definedName>
    <definedName name="solver_itr" localSheetId="2" hidden="1">2147483647</definedName>
    <definedName name="solver_itr" localSheetId="3" hidden="1">2147483647</definedName>
    <definedName name="solver_itr" localSheetId="1" hidden="1">2147483647</definedName>
    <definedName name="solver_itr" localSheetId="5" hidden="1">2147483647</definedName>
    <definedName name="solver_lhs1" localSheetId="2" hidden="1">AHT!$B$37</definedName>
    <definedName name="solver_lhs1" localSheetId="3" hidden="1">BUR!$B$37</definedName>
    <definedName name="solver_lhs1" localSheetId="5" hidden="1">KHT!$B$37</definedName>
    <definedName name="solver_lhs10" localSheetId="3" hidden="1">BUR!$B$37</definedName>
    <definedName name="solver_lhs100" localSheetId="3" hidden="1">BUR!$B$37</definedName>
    <definedName name="solver_lhs101" localSheetId="3" hidden="1">BUR!$B$37</definedName>
    <definedName name="solver_lhs102" localSheetId="3" hidden="1">BUR!$B$37</definedName>
    <definedName name="solver_lhs103" localSheetId="3" hidden="1">BUR!$B$37</definedName>
    <definedName name="solver_lhs104" localSheetId="3" hidden="1">BUR!$B$37</definedName>
    <definedName name="solver_lhs105" localSheetId="3" hidden="1">BUR!$B$37</definedName>
    <definedName name="solver_lhs106" localSheetId="3" hidden="1">BUR!$B$37</definedName>
    <definedName name="solver_lhs107" localSheetId="3" hidden="1">BUR!$B$37</definedName>
    <definedName name="solver_lhs108" localSheetId="3" hidden="1">BUR!$B$37</definedName>
    <definedName name="solver_lhs109" localSheetId="3" hidden="1">BUR!$B$37</definedName>
    <definedName name="solver_lhs11" localSheetId="3" hidden="1">BUR!$B$37</definedName>
    <definedName name="solver_lhs12" localSheetId="3" hidden="1">BUR!$B$37</definedName>
    <definedName name="solver_lhs13" localSheetId="3" hidden="1">BUR!$B$37</definedName>
    <definedName name="solver_lhs14" localSheetId="3" hidden="1">BUR!$B$37</definedName>
    <definedName name="solver_lhs15" localSheetId="3" hidden="1">BUR!$B$37</definedName>
    <definedName name="solver_lhs16" localSheetId="3" hidden="1">BUR!$B$37</definedName>
    <definedName name="solver_lhs17" localSheetId="3" hidden="1">BUR!$B$37</definedName>
    <definedName name="solver_lhs18" localSheetId="3" hidden="1">BUR!$B$37</definedName>
    <definedName name="solver_lhs19" localSheetId="3" hidden="1">BUR!$B$37</definedName>
    <definedName name="solver_lhs2" localSheetId="3" hidden="1">BUR!$B$37</definedName>
    <definedName name="solver_lhs20" localSheetId="3" hidden="1">BUR!$B$37</definedName>
    <definedName name="solver_lhs21" localSheetId="3" hidden="1">BUR!$B$37</definedName>
    <definedName name="solver_lhs22" localSheetId="3" hidden="1">BUR!$B$37</definedName>
    <definedName name="solver_lhs23" localSheetId="3" hidden="1">BUR!$B$37</definedName>
    <definedName name="solver_lhs24" localSheetId="3" hidden="1">BUR!$B$37</definedName>
    <definedName name="solver_lhs25" localSheetId="3" hidden="1">BUR!$B$37</definedName>
    <definedName name="solver_lhs26" localSheetId="3" hidden="1">BUR!$B$37</definedName>
    <definedName name="solver_lhs27" localSheetId="3" hidden="1">BUR!$B$37</definedName>
    <definedName name="solver_lhs28" localSheetId="3" hidden="1">BUR!$B$37</definedName>
    <definedName name="solver_lhs29" localSheetId="3" hidden="1">BUR!$B$37</definedName>
    <definedName name="solver_lhs3" localSheetId="3" hidden="1">BUR!$B$37</definedName>
    <definedName name="solver_lhs30" localSheetId="3" hidden="1">BUR!$B$37</definedName>
    <definedName name="solver_lhs31" localSheetId="3" hidden="1">BUR!$B$37</definedName>
    <definedName name="solver_lhs32" localSheetId="3" hidden="1">BUR!$B$37</definedName>
    <definedName name="solver_lhs33" localSheetId="3" hidden="1">BUR!$B$37</definedName>
    <definedName name="solver_lhs34" localSheetId="3" hidden="1">BUR!$B$37</definedName>
    <definedName name="solver_lhs35" localSheetId="3" hidden="1">BUR!$B$37</definedName>
    <definedName name="solver_lhs36" localSheetId="3" hidden="1">BUR!$B$37</definedName>
    <definedName name="solver_lhs37" localSheetId="3" hidden="1">BUR!$B$37</definedName>
    <definedName name="solver_lhs38" localSheetId="3" hidden="1">BUR!$B$37</definedName>
    <definedName name="solver_lhs39" localSheetId="3" hidden="1">BUR!$B$37</definedName>
    <definedName name="solver_lhs4" localSheetId="3" hidden="1">BUR!$B$37</definedName>
    <definedName name="solver_lhs40" localSheetId="3" hidden="1">BUR!$B$37</definedName>
    <definedName name="solver_lhs41" localSheetId="3" hidden="1">BUR!$B$37</definedName>
    <definedName name="solver_lhs42" localSheetId="3" hidden="1">BUR!$B$37</definedName>
    <definedName name="solver_lhs43" localSheetId="3" hidden="1">BUR!$B$37</definedName>
    <definedName name="solver_lhs44" localSheetId="3" hidden="1">BUR!$B$37</definedName>
    <definedName name="solver_lhs45" localSheetId="3" hidden="1">BUR!$B$37</definedName>
    <definedName name="solver_lhs46" localSheetId="3" hidden="1">BUR!$B$37</definedName>
    <definedName name="solver_lhs47" localSheetId="3" hidden="1">BUR!$B$37</definedName>
    <definedName name="solver_lhs48" localSheetId="3" hidden="1">BUR!$B$37</definedName>
    <definedName name="solver_lhs49" localSheetId="3" hidden="1">BUR!$B$37</definedName>
    <definedName name="solver_lhs5" localSheetId="3" hidden="1">BUR!$B$37</definedName>
    <definedName name="solver_lhs50" localSheetId="3" hidden="1">BUR!$B$37</definedName>
    <definedName name="solver_lhs51" localSheetId="3" hidden="1">BUR!$B$37</definedName>
    <definedName name="solver_lhs52" localSheetId="3" hidden="1">BUR!$B$37</definedName>
    <definedName name="solver_lhs53" localSheetId="3" hidden="1">BUR!$B$37</definedName>
    <definedName name="solver_lhs54" localSheetId="3" hidden="1">BUR!$B$37</definedName>
    <definedName name="solver_lhs55" localSheetId="3" hidden="1">BUR!$B$37</definedName>
    <definedName name="solver_lhs56" localSheetId="3" hidden="1">BUR!$B$37</definedName>
    <definedName name="solver_lhs57" localSheetId="3" hidden="1">BUR!$B$37</definedName>
    <definedName name="solver_lhs58" localSheetId="3" hidden="1">BUR!$B$37</definedName>
    <definedName name="solver_lhs59" localSheetId="3" hidden="1">BUR!$B$37</definedName>
    <definedName name="solver_lhs6" localSheetId="3" hidden="1">BUR!$B$37</definedName>
    <definedName name="solver_lhs60" localSheetId="3" hidden="1">BUR!$B$37</definedName>
    <definedName name="solver_lhs61" localSheetId="3" hidden="1">BUR!$B$37</definedName>
    <definedName name="solver_lhs62" localSheetId="3" hidden="1">BUR!$B$37</definedName>
    <definedName name="solver_lhs63" localSheetId="3" hidden="1">BUR!$B$37</definedName>
    <definedName name="solver_lhs64" localSheetId="3" hidden="1">BUR!$B$37</definedName>
    <definedName name="solver_lhs65" localSheetId="3" hidden="1">BUR!$B$37</definedName>
    <definedName name="solver_lhs66" localSheetId="3" hidden="1">BUR!$B$37</definedName>
    <definedName name="solver_lhs67" localSheetId="3" hidden="1">BUR!$B$37</definedName>
    <definedName name="solver_lhs68" localSheetId="3" hidden="1">BUR!$B$37</definedName>
    <definedName name="solver_lhs69" localSheetId="3" hidden="1">BUR!$B$37</definedName>
    <definedName name="solver_lhs7" localSheetId="3" hidden="1">BUR!$B$37</definedName>
    <definedName name="solver_lhs70" localSheetId="3" hidden="1">BUR!$B$37</definedName>
    <definedName name="solver_lhs71" localSheetId="3" hidden="1">BUR!$B$37</definedName>
    <definedName name="solver_lhs72" localSheetId="3" hidden="1">BUR!$B$37</definedName>
    <definedName name="solver_lhs73" localSheetId="3" hidden="1">BUR!$B$37</definedName>
    <definedName name="solver_lhs74" localSheetId="3" hidden="1">BUR!$B$37</definedName>
    <definedName name="solver_lhs75" localSheetId="3" hidden="1">BUR!$B$37</definedName>
    <definedName name="solver_lhs76" localSheetId="3" hidden="1">BUR!$B$37</definedName>
    <definedName name="solver_lhs77" localSheetId="3" hidden="1">BUR!$B$37</definedName>
    <definedName name="solver_lhs78" localSheetId="3" hidden="1">BUR!$B$37</definedName>
    <definedName name="solver_lhs79" localSheetId="3" hidden="1">BUR!$B$37</definedName>
    <definedName name="solver_lhs8" localSheetId="3" hidden="1">BUR!$B$37</definedName>
    <definedName name="solver_lhs80" localSheetId="3" hidden="1">BUR!$B$37</definedName>
    <definedName name="solver_lhs81" localSheetId="3" hidden="1">BUR!$B$37</definedName>
    <definedName name="solver_lhs82" localSheetId="3" hidden="1">BUR!$B$37</definedName>
    <definedName name="solver_lhs83" localSheetId="3" hidden="1">BUR!$B$37</definedName>
    <definedName name="solver_lhs84" localSheetId="3" hidden="1">BUR!$B$37</definedName>
    <definedName name="solver_lhs85" localSheetId="3" hidden="1">BUR!$B$37</definedName>
    <definedName name="solver_lhs86" localSheetId="3" hidden="1">BUR!$B$37</definedName>
    <definedName name="solver_lhs87" localSheetId="3" hidden="1">BUR!$B$37</definedName>
    <definedName name="solver_lhs88" localSheetId="3" hidden="1">BUR!$B$37</definedName>
    <definedName name="solver_lhs89" localSheetId="3" hidden="1">BUR!$B$37</definedName>
    <definedName name="solver_lhs9" localSheetId="3" hidden="1">BUR!$B$37</definedName>
    <definedName name="solver_lhs90" localSheetId="3" hidden="1">BUR!$B$37</definedName>
    <definedName name="solver_lhs91" localSheetId="3" hidden="1">BUR!$B$37</definedName>
    <definedName name="solver_lhs92" localSheetId="3" hidden="1">BUR!$B$37</definedName>
    <definedName name="solver_lhs93" localSheetId="3" hidden="1">BUR!$B$37</definedName>
    <definedName name="solver_lhs94" localSheetId="3" hidden="1">BUR!$B$37</definedName>
    <definedName name="solver_lhs95" localSheetId="3" hidden="1">BUR!$B$37</definedName>
    <definedName name="solver_lhs96" localSheetId="3" hidden="1">BUR!$B$37</definedName>
    <definedName name="solver_lhs97" localSheetId="3" hidden="1">BUR!$B$37</definedName>
    <definedName name="solver_lhs98" localSheetId="3" hidden="1">BUR!$B$37</definedName>
    <definedName name="solver_lhs99" localSheetId="3" hidden="1">BUR!$B$37</definedName>
    <definedName name="solver_mip" localSheetId="4" hidden="1">2147483647</definedName>
    <definedName name="solver_mip" localSheetId="2" hidden="1">2147483647</definedName>
    <definedName name="solver_mip" localSheetId="3" hidden="1">2147483647</definedName>
    <definedName name="solver_mip" localSheetId="1" hidden="1">2147483647</definedName>
    <definedName name="solver_mip" localSheetId="5" hidden="1">2147483647</definedName>
    <definedName name="solver_mni" localSheetId="4" hidden="1">30</definedName>
    <definedName name="solver_mni" localSheetId="2" hidden="1">30</definedName>
    <definedName name="solver_mni" localSheetId="3" hidden="1">30</definedName>
    <definedName name="solver_mni" localSheetId="1" hidden="1">30</definedName>
    <definedName name="solver_mni" localSheetId="5" hidden="1">30</definedName>
    <definedName name="solver_mrt" localSheetId="4" hidden="1">0.075</definedName>
    <definedName name="solver_mrt" localSheetId="2" hidden="1">0.075</definedName>
    <definedName name="solver_mrt" localSheetId="3" hidden="1">0.075</definedName>
    <definedName name="solver_mrt" localSheetId="1" hidden="1">0.075</definedName>
    <definedName name="solver_mrt" localSheetId="5" hidden="1">0.075</definedName>
    <definedName name="solver_msl" localSheetId="4" hidden="1">2</definedName>
    <definedName name="solver_msl" localSheetId="2" hidden="1">2</definedName>
    <definedName name="solver_msl" localSheetId="3" hidden="1">2</definedName>
    <definedName name="solver_msl" localSheetId="1" hidden="1">2</definedName>
    <definedName name="solver_msl" localSheetId="5" hidden="1">2</definedName>
    <definedName name="solver_neg" localSheetId="4" hidden="1">2</definedName>
    <definedName name="solver_neg" localSheetId="2" hidden="1">2</definedName>
    <definedName name="solver_neg" localSheetId="3" hidden="1">2</definedName>
    <definedName name="solver_neg" localSheetId="1" hidden="1">2</definedName>
    <definedName name="solver_neg" localSheetId="5" hidden="1">2</definedName>
    <definedName name="solver_nod" localSheetId="4" hidden="1">2147483647</definedName>
    <definedName name="solver_nod" localSheetId="2" hidden="1">2147483647</definedName>
    <definedName name="solver_nod" localSheetId="3" hidden="1">2147483647</definedName>
    <definedName name="solver_nod" localSheetId="1" hidden="1">2147483647</definedName>
    <definedName name="solver_nod" localSheetId="5" hidden="1">2147483647</definedName>
    <definedName name="solver_num" localSheetId="4" hidden="1">0</definedName>
    <definedName name="solver_num" localSheetId="2" hidden="1">1</definedName>
    <definedName name="solver_num" localSheetId="3" hidden="1">109</definedName>
    <definedName name="solver_num" localSheetId="1" hidden="1">0</definedName>
    <definedName name="solver_num" localSheetId="5" hidden="1">1</definedName>
    <definedName name="solver_nwt" localSheetId="4" hidden="1">1</definedName>
    <definedName name="solver_nwt" localSheetId="2" hidden="1">1</definedName>
    <definedName name="solver_nwt" localSheetId="3" hidden="1">1</definedName>
    <definedName name="solver_nwt" localSheetId="1" hidden="1">1</definedName>
    <definedName name="solver_nwt" localSheetId="5" hidden="1">1</definedName>
    <definedName name="solver_opt" localSheetId="4" hidden="1">ACT!$B$39</definedName>
    <definedName name="solver_opt" localSheetId="2" hidden="1">AHT!$B$39</definedName>
    <definedName name="solver_opt" localSheetId="3" hidden="1">BUR!$B$39</definedName>
    <definedName name="solver_opt" localSheetId="1" hidden="1">HT!$B$39</definedName>
    <definedName name="solver_opt" localSheetId="5" hidden="1">KHT!$B$39</definedName>
    <definedName name="solver_pre" localSheetId="4" hidden="1">0.000001</definedName>
    <definedName name="solver_pre" localSheetId="2" hidden="1">0.000001</definedName>
    <definedName name="solver_pre" localSheetId="3" hidden="1">0.000001</definedName>
    <definedName name="solver_pre" localSheetId="1" hidden="1">0.000001</definedName>
    <definedName name="solver_pre" localSheetId="5" hidden="1">0.000001</definedName>
    <definedName name="solver_rbv" localSheetId="4" hidden="1">1</definedName>
    <definedName name="solver_rbv" localSheetId="2" hidden="1">1</definedName>
    <definedName name="solver_rbv" localSheetId="3" hidden="1">1</definedName>
    <definedName name="solver_rbv" localSheetId="1" hidden="1">1</definedName>
    <definedName name="solver_rbv" localSheetId="5" hidden="1">1</definedName>
    <definedName name="solver_rel1" localSheetId="2" hidden="1">3</definedName>
    <definedName name="solver_rel1" localSheetId="3" hidden="1">3</definedName>
    <definedName name="solver_rel1" localSheetId="5" hidden="1">3</definedName>
    <definedName name="solver_rel10" localSheetId="3" hidden="1">3</definedName>
    <definedName name="solver_rel100" localSheetId="3" hidden="1">3</definedName>
    <definedName name="solver_rel101" localSheetId="3" hidden="1">3</definedName>
    <definedName name="solver_rel102" localSheetId="3" hidden="1">3</definedName>
    <definedName name="solver_rel103" localSheetId="3" hidden="1">3</definedName>
    <definedName name="solver_rel104" localSheetId="3" hidden="1">3</definedName>
    <definedName name="solver_rel105" localSheetId="3" hidden="1">3</definedName>
    <definedName name="solver_rel106" localSheetId="3" hidden="1">3</definedName>
    <definedName name="solver_rel107" localSheetId="3" hidden="1">3</definedName>
    <definedName name="solver_rel108" localSheetId="3" hidden="1">3</definedName>
    <definedName name="solver_rel109" localSheetId="3" hidden="1">3</definedName>
    <definedName name="solver_rel11" localSheetId="3" hidden="1">3</definedName>
    <definedName name="solver_rel12" localSheetId="3" hidden="1">3</definedName>
    <definedName name="solver_rel13" localSheetId="3" hidden="1">3</definedName>
    <definedName name="solver_rel14" localSheetId="3" hidden="1">3</definedName>
    <definedName name="solver_rel15" localSheetId="3" hidden="1">3</definedName>
    <definedName name="solver_rel16" localSheetId="3" hidden="1">3</definedName>
    <definedName name="solver_rel17" localSheetId="3" hidden="1">3</definedName>
    <definedName name="solver_rel18" localSheetId="3" hidden="1">3</definedName>
    <definedName name="solver_rel19" localSheetId="3" hidden="1">3</definedName>
    <definedName name="solver_rel2" localSheetId="3" hidden="1">3</definedName>
    <definedName name="solver_rel20" localSheetId="3" hidden="1">3</definedName>
    <definedName name="solver_rel21" localSheetId="3" hidden="1">3</definedName>
    <definedName name="solver_rel22" localSheetId="3" hidden="1">3</definedName>
    <definedName name="solver_rel23" localSheetId="3" hidden="1">3</definedName>
    <definedName name="solver_rel24" localSheetId="3" hidden="1">3</definedName>
    <definedName name="solver_rel25" localSheetId="3" hidden="1">3</definedName>
    <definedName name="solver_rel26" localSheetId="3" hidden="1">3</definedName>
    <definedName name="solver_rel27" localSheetId="3" hidden="1">3</definedName>
    <definedName name="solver_rel28" localSheetId="3" hidden="1">3</definedName>
    <definedName name="solver_rel29" localSheetId="3" hidden="1">3</definedName>
    <definedName name="solver_rel3" localSheetId="3" hidden="1">3</definedName>
    <definedName name="solver_rel30" localSheetId="3" hidden="1">3</definedName>
    <definedName name="solver_rel31" localSheetId="3" hidden="1">3</definedName>
    <definedName name="solver_rel32" localSheetId="3" hidden="1">3</definedName>
    <definedName name="solver_rel33" localSheetId="3" hidden="1">3</definedName>
    <definedName name="solver_rel34" localSheetId="3" hidden="1">3</definedName>
    <definedName name="solver_rel35" localSheetId="3" hidden="1">3</definedName>
    <definedName name="solver_rel36" localSheetId="3" hidden="1">3</definedName>
    <definedName name="solver_rel37" localSheetId="3" hidden="1">3</definedName>
    <definedName name="solver_rel38" localSheetId="3" hidden="1">3</definedName>
    <definedName name="solver_rel39" localSheetId="3" hidden="1">3</definedName>
    <definedName name="solver_rel4" localSheetId="3" hidden="1">3</definedName>
    <definedName name="solver_rel40" localSheetId="3" hidden="1">3</definedName>
    <definedName name="solver_rel41" localSheetId="3" hidden="1">3</definedName>
    <definedName name="solver_rel42" localSheetId="3" hidden="1">3</definedName>
    <definedName name="solver_rel43" localSheetId="3" hidden="1">3</definedName>
    <definedName name="solver_rel44" localSheetId="3" hidden="1">3</definedName>
    <definedName name="solver_rel45" localSheetId="3" hidden="1">3</definedName>
    <definedName name="solver_rel46" localSheetId="3" hidden="1">3</definedName>
    <definedName name="solver_rel47" localSheetId="3" hidden="1">3</definedName>
    <definedName name="solver_rel48" localSheetId="3" hidden="1">3</definedName>
    <definedName name="solver_rel49" localSheetId="3" hidden="1">3</definedName>
    <definedName name="solver_rel5" localSheetId="3" hidden="1">3</definedName>
    <definedName name="solver_rel50" localSheetId="3" hidden="1">3</definedName>
    <definedName name="solver_rel51" localSheetId="3" hidden="1">3</definedName>
    <definedName name="solver_rel52" localSheetId="3" hidden="1">3</definedName>
    <definedName name="solver_rel53" localSheetId="3" hidden="1">3</definedName>
    <definedName name="solver_rel54" localSheetId="3" hidden="1">3</definedName>
    <definedName name="solver_rel55" localSheetId="3" hidden="1">3</definedName>
    <definedName name="solver_rel56" localSheetId="3" hidden="1">3</definedName>
    <definedName name="solver_rel57" localSheetId="3" hidden="1">3</definedName>
    <definedName name="solver_rel58" localSheetId="3" hidden="1">3</definedName>
    <definedName name="solver_rel59" localSheetId="3" hidden="1">3</definedName>
    <definedName name="solver_rel6" localSheetId="3" hidden="1">3</definedName>
    <definedName name="solver_rel60" localSheetId="3" hidden="1">3</definedName>
    <definedName name="solver_rel61" localSheetId="3" hidden="1">3</definedName>
    <definedName name="solver_rel62" localSheetId="3" hidden="1">3</definedName>
    <definedName name="solver_rel63" localSheetId="3" hidden="1">3</definedName>
    <definedName name="solver_rel64" localSheetId="3" hidden="1">3</definedName>
    <definedName name="solver_rel65" localSheetId="3" hidden="1">3</definedName>
    <definedName name="solver_rel66" localSheetId="3" hidden="1">3</definedName>
    <definedName name="solver_rel67" localSheetId="3" hidden="1">3</definedName>
    <definedName name="solver_rel68" localSheetId="3" hidden="1">3</definedName>
    <definedName name="solver_rel69" localSheetId="3" hidden="1">3</definedName>
    <definedName name="solver_rel7" localSheetId="3" hidden="1">3</definedName>
    <definedName name="solver_rel70" localSheetId="3" hidden="1">3</definedName>
    <definedName name="solver_rel71" localSheetId="3" hidden="1">3</definedName>
    <definedName name="solver_rel72" localSheetId="3" hidden="1">3</definedName>
    <definedName name="solver_rel73" localSheetId="3" hidden="1">3</definedName>
    <definedName name="solver_rel74" localSheetId="3" hidden="1">3</definedName>
    <definedName name="solver_rel75" localSheetId="3" hidden="1">3</definedName>
    <definedName name="solver_rel76" localSheetId="3" hidden="1">3</definedName>
    <definedName name="solver_rel77" localSheetId="3" hidden="1">3</definedName>
    <definedName name="solver_rel78" localSheetId="3" hidden="1">3</definedName>
    <definedName name="solver_rel79" localSheetId="3" hidden="1">3</definedName>
    <definedName name="solver_rel8" localSheetId="3" hidden="1">3</definedName>
    <definedName name="solver_rel80" localSheetId="3" hidden="1">3</definedName>
    <definedName name="solver_rel81" localSheetId="3" hidden="1">3</definedName>
    <definedName name="solver_rel82" localSheetId="3" hidden="1">3</definedName>
    <definedName name="solver_rel83" localSheetId="3" hidden="1">3</definedName>
    <definedName name="solver_rel84" localSheetId="3" hidden="1">3</definedName>
    <definedName name="solver_rel85" localSheetId="3" hidden="1">3</definedName>
    <definedName name="solver_rel86" localSheetId="3" hidden="1">3</definedName>
    <definedName name="solver_rel87" localSheetId="3" hidden="1">3</definedName>
    <definedName name="solver_rel88" localSheetId="3" hidden="1">3</definedName>
    <definedName name="solver_rel89" localSheetId="3" hidden="1">3</definedName>
    <definedName name="solver_rel9" localSheetId="3" hidden="1">3</definedName>
    <definedName name="solver_rel90" localSheetId="3" hidden="1">3</definedName>
    <definedName name="solver_rel91" localSheetId="3" hidden="1">3</definedName>
    <definedName name="solver_rel92" localSheetId="3" hidden="1">3</definedName>
    <definedName name="solver_rel93" localSheetId="3" hidden="1">3</definedName>
    <definedName name="solver_rel94" localSheetId="3" hidden="1">3</definedName>
    <definedName name="solver_rel95" localSheetId="3" hidden="1">3</definedName>
    <definedName name="solver_rel96" localSheetId="3" hidden="1">3</definedName>
    <definedName name="solver_rel97" localSheetId="3" hidden="1">3</definedName>
    <definedName name="solver_rel98" localSheetId="3" hidden="1">3</definedName>
    <definedName name="solver_rel99" localSheetId="3" hidden="1">3</definedName>
    <definedName name="solver_rhs1" localSheetId="2" hidden="1">0</definedName>
    <definedName name="solver_rhs1" localSheetId="3" hidden="1">0</definedName>
    <definedName name="solver_rhs1" localSheetId="5" hidden="1">0.00001</definedName>
    <definedName name="solver_rhs10" localSheetId="3" hidden="1">0</definedName>
    <definedName name="solver_rhs100" localSheetId="3" hidden="1">0</definedName>
    <definedName name="solver_rhs101" localSheetId="3" hidden="1">0</definedName>
    <definedName name="solver_rhs102" localSheetId="3" hidden="1">0</definedName>
    <definedName name="solver_rhs103" localSheetId="3" hidden="1">0</definedName>
    <definedName name="solver_rhs104" localSheetId="3" hidden="1">0</definedName>
    <definedName name="solver_rhs105" localSheetId="3" hidden="1">0</definedName>
    <definedName name="solver_rhs106" localSheetId="3" hidden="1">0</definedName>
    <definedName name="solver_rhs107" localSheetId="3" hidden="1">0</definedName>
    <definedName name="solver_rhs108" localSheetId="3" hidden="1">0</definedName>
    <definedName name="solver_rhs109" localSheetId="3" hidden="1">0</definedName>
    <definedName name="solver_rhs11" localSheetId="3" hidden="1">0</definedName>
    <definedName name="solver_rhs12" localSheetId="3" hidden="1">0</definedName>
    <definedName name="solver_rhs13" localSheetId="3" hidden="1">0</definedName>
    <definedName name="solver_rhs14" localSheetId="3" hidden="1">0</definedName>
    <definedName name="solver_rhs15" localSheetId="3" hidden="1">0</definedName>
    <definedName name="solver_rhs16" localSheetId="3" hidden="1">0</definedName>
    <definedName name="solver_rhs17" localSheetId="3" hidden="1">0</definedName>
    <definedName name="solver_rhs18" localSheetId="3" hidden="1">0</definedName>
    <definedName name="solver_rhs19" localSheetId="3" hidden="1">0</definedName>
    <definedName name="solver_rhs2" localSheetId="3" hidden="1">0</definedName>
    <definedName name="solver_rhs20" localSheetId="3" hidden="1">0</definedName>
    <definedName name="solver_rhs21" localSheetId="3" hidden="1">0</definedName>
    <definedName name="solver_rhs22" localSheetId="3" hidden="1">0</definedName>
    <definedName name="solver_rhs23" localSheetId="3" hidden="1">0</definedName>
    <definedName name="solver_rhs24" localSheetId="3" hidden="1">0</definedName>
    <definedName name="solver_rhs25" localSheetId="3" hidden="1">0</definedName>
    <definedName name="solver_rhs26" localSheetId="3" hidden="1">0</definedName>
    <definedName name="solver_rhs27" localSheetId="3" hidden="1">0</definedName>
    <definedName name="solver_rhs28" localSheetId="3" hidden="1">0</definedName>
    <definedName name="solver_rhs29" localSheetId="3" hidden="1">0</definedName>
    <definedName name="solver_rhs3" localSheetId="3" hidden="1">0</definedName>
    <definedName name="solver_rhs30" localSheetId="3" hidden="1">0</definedName>
    <definedName name="solver_rhs31" localSheetId="3" hidden="1">0</definedName>
    <definedName name="solver_rhs32" localSheetId="3" hidden="1">0</definedName>
    <definedName name="solver_rhs33" localSheetId="3" hidden="1">0</definedName>
    <definedName name="solver_rhs34" localSheetId="3" hidden="1">0</definedName>
    <definedName name="solver_rhs35" localSheetId="3" hidden="1">0</definedName>
    <definedName name="solver_rhs36" localSheetId="3" hidden="1">0</definedName>
    <definedName name="solver_rhs37" localSheetId="3" hidden="1">0</definedName>
    <definedName name="solver_rhs38" localSheetId="3" hidden="1">0</definedName>
    <definedName name="solver_rhs39" localSheetId="3" hidden="1">0</definedName>
    <definedName name="solver_rhs4" localSheetId="3" hidden="1">0</definedName>
    <definedName name="solver_rhs40" localSheetId="3" hidden="1">0</definedName>
    <definedName name="solver_rhs41" localSheetId="3" hidden="1">0</definedName>
    <definedName name="solver_rhs42" localSheetId="3" hidden="1">0</definedName>
    <definedName name="solver_rhs43" localSheetId="3" hidden="1">0</definedName>
    <definedName name="solver_rhs44" localSheetId="3" hidden="1">0</definedName>
    <definedName name="solver_rhs45" localSheetId="3" hidden="1">0</definedName>
    <definedName name="solver_rhs46" localSheetId="3" hidden="1">0</definedName>
    <definedName name="solver_rhs47" localSheetId="3" hidden="1">0</definedName>
    <definedName name="solver_rhs48" localSheetId="3" hidden="1">0</definedName>
    <definedName name="solver_rhs49" localSheetId="3" hidden="1">0</definedName>
    <definedName name="solver_rhs5" localSheetId="3" hidden="1">0</definedName>
    <definedName name="solver_rhs50" localSheetId="3" hidden="1">0</definedName>
    <definedName name="solver_rhs51" localSheetId="3" hidden="1">0</definedName>
    <definedName name="solver_rhs52" localSheetId="3" hidden="1">0</definedName>
    <definedName name="solver_rhs53" localSheetId="3" hidden="1">0</definedName>
    <definedName name="solver_rhs54" localSheetId="3" hidden="1">0</definedName>
    <definedName name="solver_rhs55" localSheetId="3" hidden="1">0</definedName>
    <definedName name="solver_rhs56" localSheetId="3" hidden="1">0</definedName>
    <definedName name="solver_rhs57" localSheetId="3" hidden="1">0</definedName>
    <definedName name="solver_rhs58" localSheetId="3" hidden="1">0</definedName>
    <definedName name="solver_rhs59" localSheetId="3" hidden="1">0</definedName>
    <definedName name="solver_rhs6" localSheetId="3" hidden="1">0</definedName>
    <definedName name="solver_rhs60" localSheetId="3" hidden="1">0</definedName>
    <definedName name="solver_rhs61" localSheetId="3" hidden="1">0</definedName>
    <definedName name="solver_rhs62" localSheetId="3" hidden="1">0</definedName>
    <definedName name="solver_rhs63" localSheetId="3" hidden="1">0</definedName>
    <definedName name="solver_rhs64" localSheetId="3" hidden="1">0</definedName>
    <definedName name="solver_rhs65" localSheetId="3" hidden="1">0</definedName>
    <definedName name="solver_rhs66" localSheetId="3" hidden="1">0</definedName>
    <definedName name="solver_rhs67" localSheetId="3" hidden="1">0</definedName>
    <definedName name="solver_rhs68" localSheetId="3" hidden="1">0</definedName>
    <definedName name="solver_rhs69" localSheetId="3" hidden="1">0</definedName>
    <definedName name="solver_rhs7" localSheetId="3" hidden="1">0</definedName>
    <definedName name="solver_rhs70" localSheetId="3" hidden="1">0</definedName>
    <definedName name="solver_rhs71" localSheetId="3" hidden="1">0</definedName>
    <definedName name="solver_rhs72" localSheetId="3" hidden="1">0</definedName>
    <definedName name="solver_rhs73" localSheetId="3" hidden="1">0</definedName>
    <definedName name="solver_rhs74" localSheetId="3" hidden="1">0</definedName>
    <definedName name="solver_rhs75" localSheetId="3" hidden="1">0</definedName>
    <definedName name="solver_rhs76" localSheetId="3" hidden="1">0</definedName>
    <definedName name="solver_rhs77" localSheetId="3" hidden="1">0</definedName>
    <definedName name="solver_rhs78" localSheetId="3" hidden="1">0</definedName>
    <definedName name="solver_rhs79" localSheetId="3" hidden="1">0</definedName>
    <definedName name="solver_rhs8" localSheetId="3" hidden="1">0</definedName>
    <definedName name="solver_rhs80" localSheetId="3" hidden="1">0</definedName>
    <definedName name="solver_rhs81" localSheetId="3" hidden="1">0</definedName>
    <definedName name="solver_rhs82" localSheetId="3" hidden="1">0</definedName>
    <definedName name="solver_rhs83" localSheetId="3" hidden="1">0</definedName>
    <definedName name="solver_rhs84" localSheetId="3" hidden="1">0</definedName>
    <definedName name="solver_rhs85" localSheetId="3" hidden="1">0</definedName>
    <definedName name="solver_rhs86" localSheetId="3" hidden="1">0</definedName>
    <definedName name="solver_rhs87" localSheetId="3" hidden="1">0</definedName>
    <definedName name="solver_rhs88" localSheetId="3" hidden="1">0</definedName>
    <definedName name="solver_rhs89" localSheetId="3" hidden="1">0</definedName>
    <definedName name="solver_rhs9" localSheetId="3" hidden="1">0</definedName>
    <definedName name="solver_rhs90" localSheetId="3" hidden="1">0</definedName>
    <definedName name="solver_rhs91" localSheetId="3" hidden="1">0</definedName>
    <definedName name="solver_rhs92" localSheetId="3" hidden="1">0</definedName>
    <definedName name="solver_rhs93" localSheetId="3" hidden="1">0</definedName>
    <definedName name="solver_rhs94" localSheetId="3" hidden="1">0</definedName>
    <definedName name="solver_rhs95" localSheetId="3" hidden="1">0</definedName>
    <definedName name="solver_rhs96" localSheetId="3" hidden="1">0</definedName>
    <definedName name="solver_rhs97" localSheetId="3" hidden="1">0</definedName>
    <definedName name="solver_rhs98" localSheetId="3" hidden="1">0</definedName>
    <definedName name="solver_rhs99" localSheetId="3" hidden="1">0</definedName>
    <definedName name="solver_rlx" localSheetId="4" hidden="1">2</definedName>
    <definedName name="solver_rlx" localSheetId="2" hidden="1">2</definedName>
    <definedName name="solver_rlx" localSheetId="3" hidden="1">2</definedName>
    <definedName name="solver_rlx" localSheetId="1" hidden="1">2</definedName>
    <definedName name="solver_rlx" localSheetId="5" hidden="1">2</definedName>
    <definedName name="solver_rsd" localSheetId="4" hidden="1">0</definedName>
    <definedName name="solver_rsd" localSheetId="2" hidden="1">0</definedName>
    <definedName name="solver_rsd" localSheetId="3" hidden="1">0</definedName>
    <definedName name="solver_rsd" localSheetId="1" hidden="1">0</definedName>
    <definedName name="solver_rsd" localSheetId="5" hidden="1">0</definedName>
    <definedName name="solver_scl" localSheetId="4" hidden="1">1</definedName>
    <definedName name="solver_scl" localSheetId="2" hidden="1">1</definedName>
    <definedName name="solver_scl" localSheetId="3" hidden="1">1</definedName>
    <definedName name="solver_scl" localSheetId="1" hidden="1">1</definedName>
    <definedName name="solver_scl" localSheetId="5" hidden="1">1</definedName>
    <definedName name="solver_sho" localSheetId="4" hidden="1">2</definedName>
    <definedName name="solver_sho" localSheetId="2" hidden="1">2</definedName>
    <definedName name="solver_sho" localSheetId="3" hidden="1">2</definedName>
    <definedName name="solver_sho" localSheetId="1" hidden="1">2</definedName>
    <definedName name="solver_sho" localSheetId="5" hidden="1">2</definedName>
    <definedName name="solver_ssz" localSheetId="4" hidden="1">100</definedName>
    <definedName name="solver_ssz" localSheetId="2" hidden="1">100</definedName>
    <definedName name="solver_ssz" localSheetId="3" hidden="1">100</definedName>
    <definedName name="solver_ssz" localSheetId="1" hidden="1">100</definedName>
    <definedName name="solver_ssz" localSheetId="5" hidden="1">100</definedName>
    <definedName name="solver_tim" localSheetId="4" hidden="1">2147483647</definedName>
    <definedName name="solver_tim" localSheetId="2" hidden="1">2147483647</definedName>
    <definedName name="solver_tim" localSheetId="3" hidden="1">2147483647</definedName>
    <definedName name="solver_tim" localSheetId="1" hidden="1">2147483647</definedName>
    <definedName name="solver_tim" localSheetId="5" hidden="1">2147483647</definedName>
    <definedName name="solver_tol" localSheetId="4" hidden="1">0.01</definedName>
    <definedName name="solver_tol" localSheetId="2" hidden="1">0.01</definedName>
    <definedName name="solver_tol" localSheetId="3" hidden="1">0.01</definedName>
    <definedName name="solver_tol" localSheetId="1" hidden="1">0.01</definedName>
    <definedName name="solver_tol" localSheetId="5" hidden="1">0.01</definedName>
    <definedName name="solver_typ" localSheetId="4" hidden="1">2</definedName>
    <definedName name="solver_typ" localSheetId="2" hidden="1">2</definedName>
    <definedName name="solver_typ" localSheetId="3" hidden="1">2</definedName>
    <definedName name="solver_typ" localSheetId="1" hidden="1">2</definedName>
    <definedName name="solver_typ" localSheetId="5" hidden="1">2</definedName>
    <definedName name="solver_val" localSheetId="4" hidden="1">0</definedName>
    <definedName name="solver_val" localSheetId="2" hidden="1">0</definedName>
    <definedName name="solver_val" localSheetId="3" hidden="1">0</definedName>
    <definedName name="solver_val" localSheetId="1" hidden="1">0</definedName>
    <definedName name="solver_val" localSheetId="5" hidden="1">0</definedName>
    <definedName name="solver_ver" localSheetId="4" hidden="1">3</definedName>
    <definedName name="solver_ver" localSheetId="2" hidden="1">3</definedName>
    <definedName name="solver_ver" localSheetId="3" hidden="1">3</definedName>
    <definedName name="solver_ver" localSheetId="1" hidden="1">3</definedName>
    <definedName name="solver_ver" localSheetId="5" hidden="1">3</definedName>
    <definedName name="SSR_ARCTAN">ACT!$B$39</definedName>
    <definedName name="SSR_ATANH">AHT!$B$39</definedName>
    <definedName name="SSR_Burr">BUR!$B$39</definedName>
    <definedName name="SSR_KASYM">KHT!$B$39</definedName>
    <definedName name="SSR_TANH">HT!$B$39</definedName>
    <definedName name="T0_Burr">BUR!$B$35</definedName>
    <definedName name="T0_KASYM">KHT!$B$35</definedName>
    <definedName name="Temperatures">'Input data'!$A$3:$A$32</definedName>
    <definedName name="US">'Input data'!$B$35</definedName>
    <definedName name="Xi_function">BUR!$C$3:$C$32</definedName>
  </definedNames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8" i="11" l="1"/>
  <c r="G8" i="11"/>
  <c r="H7" i="11"/>
  <c r="G7" i="11"/>
  <c r="A8" i="11"/>
  <c r="A7" i="11"/>
  <c r="A6" i="11" l="1"/>
  <c r="A5" i="11"/>
  <c r="C3" i="11"/>
  <c r="G36" i="1" l="1"/>
  <c r="G35" i="1"/>
  <c r="H23" i="7" l="1"/>
  <c r="G21" i="7"/>
  <c r="F21" i="7"/>
  <c r="D20" i="7"/>
  <c r="E23" i="7"/>
  <c r="C23" i="7"/>
  <c r="C22" i="7"/>
  <c r="B22" i="7"/>
  <c r="E21" i="7"/>
  <c r="C20" i="7"/>
  <c r="B20" i="7"/>
  <c r="C19" i="7"/>
  <c r="B19" i="7"/>
  <c r="C3" i="7"/>
  <c r="D11" i="7"/>
  <c r="D10" i="7"/>
  <c r="D8" i="7"/>
  <c r="C10" i="7"/>
  <c r="C8" i="7"/>
  <c r="D7" i="7"/>
  <c r="C7" i="7"/>
  <c r="F34" i="6" l="1"/>
  <c r="E37" i="8" l="1"/>
  <c r="E38" i="8" s="1"/>
  <c r="E37" i="10"/>
  <c r="E38" i="10" s="1"/>
  <c r="E38" i="5" l="1"/>
  <c r="E37" i="5"/>
  <c r="E3" i="1" l="1"/>
  <c r="E4" i="1"/>
  <c r="E5" i="1"/>
  <c r="E6" i="1"/>
  <c r="E7" i="1"/>
  <c r="E8" i="1"/>
  <c r="E9" i="1"/>
  <c r="E10" i="1"/>
  <c r="E11" i="1"/>
  <c r="E12" i="1"/>
  <c r="E13" i="1"/>
  <c r="E14" i="1"/>
  <c r="D13" i="7" l="1"/>
  <c r="D12" i="7"/>
  <c r="G40" i="6" l="1"/>
  <c r="F40" i="5"/>
  <c r="G40" i="4"/>
  <c r="F40" i="10"/>
  <c r="F40" i="8"/>
  <c r="B36" i="1" l="1"/>
  <c r="C35" i="1" l="1"/>
  <c r="W58" i="6" l="1"/>
  <c r="W57" i="6"/>
  <c r="U58" i="5" l="1"/>
  <c r="U57" i="5"/>
  <c r="W58" i="4" l="1"/>
  <c r="W57" i="4"/>
  <c r="U58" i="10" l="1"/>
  <c r="U57" i="10"/>
  <c r="U58" i="8" l="1"/>
  <c r="U57" i="8"/>
  <c r="F3" i="1" l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U3" i="4" l="1"/>
  <c r="U4" i="4" s="1"/>
  <c r="U5" i="4" s="1"/>
  <c r="U6" i="4" s="1"/>
  <c r="U7" i="4" s="1"/>
  <c r="U8" i="4" s="1"/>
  <c r="U9" i="4" s="1"/>
  <c r="U10" i="4" s="1"/>
  <c r="U11" i="4" s="1"/>
  <c r="U12" i="4" s="1"/>
  <c r="U13" i="4" s="1"/>
  <c r="U14" i="4" s="1"/>
  <c r="U15" i="4" s="1"/>
  <c r="U16" i="4" s="1"/>
  <c r="U17" i="4" s="1"/>
  <c r="U18" i="4" s="1"/>
  <c r="U19" i="4" s="1"/>
  <c r="U20" i="4" s="1"/>
  <c r="U21" i="4" s="1"/>
  <c r="U22" i="4" s="1"/>
  <c r="U23" i="4" s="1"/>
  <c r="U24" i="4" s="1"/>
  <c r="U25" i="4" s="1"/>
  <c r="U26" i="4" s="1"/>
  <c r="U27" i="4" s="1"/>
  <c r="U28" i="4" s="1"/>
  <c r="U29" i="4" s="1"/>
  <c r="U30" i="4" s="1"/>
  <c r="U31" i="4" s="1"/>
  <c r="U32" i="4" s="1"/>
  <c r="U33" i="4" s="1"/>
  <c r="U34" i="4" s="1"/>
  <c r="U35" i="4" s="1"/>
  <c r="U36" i="4" s="1"/>
  <c r="U37" i="4" s="1"/>
  <c r="U38" i="4" s="1"/>
  <c r="U39" i="4" s="1"/>
  <c r="U40" i="4" s="1"/>
  <c r="U41" i="4" s="1"/>
  <c r="U42" i="4" s="1"/>
  <c r="U43" i="4" s="1"/>
  <c r="U44" i="4" s="1"/>
  <c r="U45" i="4" s="1"/>
  <c r="U46" i="4" s="1"/>
  <c r="U47" i="4" s="1"/>
  <c r="U48" i="4" s="1"/>
  <c r="U49" i="4" s="1"/>
  <c r="U50" i="4" s="1"/>
  <c r="U51" i="4" s="1"/>
  <c r="U52" i="4" s="1"/>
  <c r="E6" i="7"/>
  <c r="E34" i="6"/>
  <c r="E35" i="6" l="1"/>
  <c r="V2" i="4"/>
  <c r="C11" i="7" l="1"/>
  <c r="E35" i="4"/>
  <c r="C9" i="7" l="1"/>
  <c r="C13" i="7"/>
  <c r="C12" i="7"/>
  <c r="C41" i="6"/>
  <c r="E38" i="6"/>
  <c r="E37" i="6"/>
  <c r="B32" i="6"/>
  <c r="A32" i="6"/>
  <c r="B31" i="6"/>
  <c r="A31" i="6"/>
  <c r="B30" i="6"/>
  <c r="A30" i="6"/>
  <c r="B29" i="6"/>
  <c r="A29" i="6"/>
  <c r="B28" i="6"/>
  <c r="A28" i="6"/>
  <c r="B27" i="6"/>
  <c r="A27" i="6"/>
  <c r="B26" i="6"/>
  <c r="A26" i="6"/>
  <c r="B25" i="6"/>
  <c r="A25" i="6"/>
  <c r="B24" i="6"/>
  <c r="A24" i="6"/>
  <c r="B23" i="6"/>
  <c r="A23" i="6"/>
  <c r="B22" i="6"/>
  <c r="A22" i="6"/>
  <c r="B21" i="6"/>
  <c r="A21" i="6"/>
  <c r="B20" i="6"/>
  <c r="A20" i="6"/>
  <c r="B19" i="6"/>
  <c r="A19" i="6"/>
  <c r="B18" i="6"/>
  <c r="A18" i="6"/>
  <c r="B17" i="6"/>
  <c r="A17" i="6"/>
  <c r="B16" i="6"/>
  <c r="A16" i="6"/>
  <c r="B15" i="6"/>
  <c r="A15" i="6"/>
  <c r="B14" i="6"/>
  <c r="A14" i="6"/>
  <c r="B13" i="6"/>
  <c r="A13" i="6"/>
  <c r="B12" i="6"/>
  <c r="A12" i="6"/>
  <c r="B11" i="6"/>
  <c r="A11" i="6"/>
  <c r="B10" i="6"/>
  <c r="A10" i="6"/>
  <c r="B9" i="6"/>
  <c r="A9" i="6"/>
  <c r="B8" i="6"/>
  <c r="A8" i="6"/>
  <c r="B7" i="6"/>
  <c r="A7" i="6"/>
  <c r="B6" i="6"/>
  <c r="A6" i="6"/>
  <c r="B5" i="6"/>
  <c r="A5" i="6"/>
  <c r="B4" i="6"/>
  <c r="A4" i="6"/>
  <c r="V3" i="6"/>
  <c r="B3" i="6"/>
  <c r="A3" i="6"/>
  <c r="F2" i="6"/>
  <c r="E2" i="6"/>
  <c r="D2" i="6"/>
  <c r="C2" i="6"/>
  <c r="B2" i="6"/>
  <c r="B1" i="6"/>
  <c r="C41" i="5"/>
  <c r="B32" i="5"/>
  <c r="A32" i="5"/>
  <c r="B31" i="5"/>
  <c r="A31" i="5"/>
  <c r="B30" i="5"/>
  <c r="A30" i="5"/>
  <c r="B29" i="5"/>
  <c r="A29" i="5"/>
  <c r="B28" i="5"/>
  <c r="A28" i="5"/>
  <c r="B27" i="5"/>
  <c r="A27" i="5"/>
  <c r="B26" i="5"/>
  <c r="A26" i="5"/>
  <c r="B25" i="5"/>
  <c r="A25" i="5"/>
  <c r="B24" i="5"/>
  <c r="A24" i="5"/>
  <c r="B23" i="5"/>
  <c r="A23" i="5"/>
  <c r="B22" i="5"/>
  <c r="A22" i="5"/>
  <c r="B21" i="5"/>
  <c r="A21" i="5"/>
  <c r="B20" i="5"/>
  <c r="A20" i="5"/>
  <c r="B19" i="5"/>
  <c r="A19" i="5"/>
  <c r="B18" i="5"/>
  <c r="A18" i="5"/>
  <c r="B17" i="5"/>
  <c r="A17" i="5"/>
  <c r="B16" i="5"/>
  <c r="A16" i="5"/>
  <c r="B15" i="5"/>
  <c r="A15" i="5"/>
  <c r="B14" i="5"/>
  <c r="A14" i="5"/>
  <c r="B13" i="5"/>
  <c r="A13" i="5"/>
  <c r="B12" i="5"/>
  <c r="A12" i="5"/>
  <c r="B11" i="5"/>
  <c r="A11" i="5"/>
  <c r="B10" i="5"/>
  <c r="A10" i="5"/>
  <c r="B9" i="5"/>
  <c r="A9" i="5"/>
  <c r="B8" i="5"/>
  <c r="A8" i="5"/>
  <c r="B7" i="5"/>
  <c r="A7" i="5"/>
  <c r="B6" i="5"/>
  <c r="A6" i="5"/>
  <c r="B5" i="5"/>
  <c r="A5" i="5"/>
  <c r="B4" i="5"/>
  <c r="A4" i="5"/>
  <c r="T3" i="5"/>
  <c r="B3" i="5"/>
  <c r="A3" i="5"/>
  <c r="D2" i="5"/>
  <c r="C2" i="5"/>
  <c r="B2" i="5"/>
  <c r="B1" i="5"/>
  <c r="V52" i="4"/>
  <c r="V51" i="4"/>
  <c r="V50" i="4"/>
  <c r="V49" i="4"/>
  <c r="V48" i="4"/>
  <c r="V47" i="4"/>
  <c r="V46" i="4"/>
  <c r="V45" i="4"/>
  <c r="V44" i="4"/>
  <c r="V43" i="4"/>
  <c r="V42" i="4"/>
  <c r="V41" i="4"/>
  <c r="C41" i="4"/>
  <c r="V40" i="4"/>
  <c r="V39" i="4"/>
  <c r="V38" i="4"/>
  <c r="V37" i="4"/>
  <c r="V36" i="4"/>
  <c r="V35" i="4"/>
  <c r="V34" i="4"/>
  <c r="V33" i="4"/>
  <c r="V32" i="4"/>
  <c r="B32" i="4"/>
  <c r="A32" i="4"/>
  <c r="C32" i="4" s="1"/>
  <c r="V31" i="4"/>
  <c r="B31" i="4"/>
  <c r="A31" i="4"/>
  <c r="C31" i="4" s="1"/>
  <c r="V30" i="4"/>
  <c r="B30" i="4"/>
  <c r="A30" i="4"/>
  <c r="C30" i="4" s="1"/>
  <c r="V29" i="4"/>
  <c r="B29" i="4"/>
  <c r="A29" i="4"/>
  <c r="C29" i="4" s="1"/>
  <c r="V28" i="4"/>
  <c r="B28" i="4"/>
  <c r="A28" i="4"/>
  <c r="C28" i="4" s="1"/>
  <c r="V27" i="4"/>
  <c r="B27" i="4"/>
  <c r="A27" i="4"/>
  <c r="C27" i="4" s="1"/>
  <c r="V26" i="4"/>
  <c r="B26" i="4"/>
  <c r="A26" i="4"/>
  <c r="C26" i="4" s="1"/>
  <c r="V25" i="4"/>
  <c r="B25" i="4"/>
  <c r="A25" i="4"/>
  <c r="C25" i="4" s="1"/>
  <c r="V24" i="4"/>
  <c r="B24" i="4"/>
  <c r="A24" i="4"/>
  <c r="C24" i="4" s="1"/>
  <c r="V23" i="4"/>
  <c r="B23" i="4"/>
  <c r="A23" i="4"/>
  <c r="C23" i="4" s="1"/>
  <c r="V22" i="4"/>
  <c r="B22" i="4"/>
  <c r="A22" i="4"/>
  <c r="C22" i="4" s="1"/>
  <c r="V21" i="4"/>
  <c r="B21" i="4"/>
  <c r="A21" i="4"/>
  <c r="C21" i="4" s="1"/>
  <c r="V20" i="4"/>
  <c r="B20" i="4"/>
  <c r="A20" i="4"/>
  <c r="C20" i="4" s="1"/>
  <c r="V19" i="4"/>
  <c r="B19" i="4"/>
  <c r="A19" i="4"/>
  <c r="C19" i="4" s="1"/>
  <c r="V18" i="4"/>
  <c r="B18" i="4"/>
  <c r="A18" i="4"/>
  <c r="C18" i="4" s="1"/>
  <c r="V17" i="4"/>
  <c r="B17" i="4"/>
  <c r="A17" i="4"/>
  <c r="C17" i="4" s="1"/>
  <c r="V16" i="4"/>
  <c r="B16" i="4"/>
  <c r="A16" i="4"/>
  <c r="C16" i="4" s="1"/>
  <c r="V15" i="4"/>
  <c r="B15" i="4"/>
  <c r="A15" i="4"/>
  <c r="C15" i="4" s="1"/>
  <c r="V14" i="4"/>
  <c r="B14" i="4"/>
  <c r="A14" i="4"/>
  <c r="C14" i="4" s="1"/>
  <c r="V13" i="4"/>
  <c r="B13" i="4"/>
  <c r="A13" i="4"/>
  <c r="C13" i="4" s="1"/>
  <c r="V12" i="4"/>
  <c r="B12" i="4"/>
  <c r="A12" i="4"/>
  <c r="C12" i="4" s="1"/>
  <c r="V11" i="4"/>
  <c r="B11" i="4"/>
  <c r="A11" i="4"/>
  <c r="C11" i="4" s="1"/>
  <c r="V10" i="4"/>
  <c r="B10" i="4"/>
  <c r="A10" i="4"/>
  <c r="C10" i="4" s="1"/>
  <c r="V9" i="4"/>
  <c r="B9" i="4"/>
  <c r="A9" i="4"/>
  <c r="C9" i="4" s="1"/>
  <c r="V8" i="4"/>
  <c r="B8" i="4"/>
  <c r="A8" i="4"/>
  <c r="C8" i="4" s="1"/>
  <c r="V7" i="4"/>
  <c r="B7" i="4"/>
  <c r="A7" i="4"/>
  <c r="C7" i="4" s="1"/>
  <c r="V6" i="4"/>
  <c r="B6" i="4"/>
  <c r="A6" i="4"/>
  <c r="C6" i="4" s="1"/>
  <c r="V5" i="4"/>
  <c r="B5" i="4"/>
  <c r="A5" i="4"/>
  <c r="C5" i="4" s="1"/>
  <c r="V4" i="4"/>
  <c r="B4" i="4"/>
  <c r="A4" i="4"/>
  <c r="C4" i="4" s="1"/>
  <c r="V3" i="4"/>
  <c r="B3" i="4"/>
  <c r="A3" i="4"/>
  <c r="E2" i="4"/>
  <c r="D2" i="4"/>
  <c r="B2" i="4"/>
  <c r="B1" i="4"/>
  <c r="C41" i="10"/>
  <c r="B32" i="10"/>
  <c r="A32" i="10"/>
  <c r="B31" i="10"/>
  <c r="A31" i="10"/>
  <c r="B30" i="10"/>
  <c r="A30" i="10"/>
  <c r="B29" i="10"/>
  <c r="A29" i="10"/>
  <c r="B28" i="10"/>
  <c r="A28" i="10"/>
  <c r="B27" i="10"/>
  <c r="A27" i="10"/>
  <c r="B26" i="10"/>
  <c r="A26" i="10"/>
  <c r="B25" i="10"/>
  <c r="A25" i="10"/>
  <c r="B24" i="10"/>
  <c r="A24" i="10"/>
  <c r="B23" i="10"/>
  <c r="A23" i="10"/>
  <c r="B22" i="10"/>
  <c r="A22" i="10"/>
  <c r="B21" i="10"/>
  <c r="A21" i="10"/>
  <c r="B20" i="10"/>
  <c r="A20" i="10"/>
  <c r="B19" i="10"/>
  <c r="A19" i="10"/>
  <c r="B18" i="10"/>
  <c r="A18" i="10"/>
  <c r="B17" i="10"/>
  <c r="A17" i="10"/>
  <c r="B16" i="10"/>
  <c r="A16" i="10"/>
  <c r="B15" i="10"/>
  <c r="A15" i="10"/>
  <c r="B14" i="10"/>
  <c r="A14" i="10"/>
  <c r="B13" i="10"/>
  <c r="A13" i="10"/>
  <c r="B12" i="10"/>
  <c r="A12" i="10"/>
  <c r="B11" i="10"/>
  <c r="A11" i="10"/>
  <c r="B10" i="10"/>
  <c r="A10" i="10"/>
  <c r="B9" i="10"/>
  <c r="A9" i="10"/>
  <c r="B8" i="10"/>
  <c r="A8" i="10"/>
  <c r="B7" i="10"/>
  <c r="A7" i="10"/>
  <c r="B6" i="10"/>
  <c r="A6" i="10"/>
  <c r="B5" i="10"/>
  <c r="A5" i="10"/>
  <c r="B4" i="10"/>
  <c r="A4" i="10"/>
  <c r="T3" i="10"/>
  <c r="B3" i="10"/>
  <c r="A3" i="10"/>
  <c r="D2" i="10"/>
  <c r="C2" i="10"/>
  <c r="B2" i="10"/>
  <c r="B1" i="10"/>
  <c r="C41" i="8"/>
  <c r="B32" i="8"/>
  <c r="A32" i="8"/>
  <c r="B31" i="8"/>
  <c r="A31" i="8"/>
  <c r="B30" i="8"/>
  <c r="A30" i="8"/>
  <c r="B29" i="8"/>
  <c r="A29" i="8"/>
  <c r="B28" i="8"/>
  <c r="A28" i="8"/>
  <c r="B27" i="8"/>
  <c r="A27" i="8"/>
  <c r="B26" i="8"/>
  <c r="A26" i="8"/>
  <c r="B25" i="8"/>
  <c r="A25" i="8"/>
  <c r="B24" i="8"/>
  <c r="A24" i="8"/>
  <c r="B23" i="8"/>
  <c r="A23" i="8"/>
  <c r="B22" i="8"/>
  <c r="A22" i="8"/>
  <c r="B21" i="8"/>
  <c r="A21" i="8"/>
  <c r="B20" i="8"/>
  <c r="A20" i="8"/>
  <c r="B19" i="8"/>
  <c r="A19" i="8"/>
  <c r="B18" i="8"/>
  <c r="A18" i="8"/>
  <c r="B17" i="8"/>
  <c r="A17" i="8"/>
  <c r="B16" i="8"/>
  <c r="A16" i="8"/>
  <c r="B15" i="8"/>
  <c r="A15" i="8"/>
  <c r="B14" i="8"/>
  <c r="A14" i="8"/>
  <c r="B13" i="8"/>
  <c r="A13" i="8"/>
  <c r="B12" i="8"/>
  <c r="A12" i="8"/>
  <c r="B11" i="8"/>
  <c r="A11" i="8"/>
  <c r="B10" i="8"/>
  <c r="A10" i="8"/>
  <c r="B9" i="8"/>
  <c r="A9" i="8"/>
  <c r="B8" i="8"/>
  <c r="A8" i="8"/>
  <c r="B7" i="8"/>
  <c r="A7" i="8"/>
  <c r="B6" i="8"/>
  <c r="A6" i="8"/>
  <c r="B5" i="8"/>
  <c r="A5" i="8"/>
  <c r="B4" i="8"/>
  <c r="A4" i="8"/>
  <c r="T3" i="8"/>
  <c r="T4" i="8" s="1"/>
  <c r="B3" i="8"/>
  <c r="A3" i="8"/>
  <c r="D2" i="8"/>
  <c r="C2" i="8"/>
  <c r="B2" i="8"/>
  <c r="B1" i="8"/>
  <c r="C36" i="1"/>
  <c r="E32" i="1"/>
  <c r="E31" i="1"/>
  <c r="E30" i="1"/>
  <c r="E29" i="1"/>
  <c r="E28" i="1"/>
  <c r="E27" i="1"/>
  <c r="E26" i="1"/>
  <c r="E25" i="1"/>
  <c r="E24" i="1"/>
  <c r="E23" i="1"/>
  <c r="E22" i="1"/>
  <c r="E21" i="1"/>
  <c r="E20" i="1"/>
  <c r="E19" i="1"/>
  <c r="E18" i="1"/>
  <c r="E17" i="1"/>
  <c r="E16" i="1"/>
  <c r="E15" i="1"/>
  <c r="M2" i="1"/>
  <c r="M1" i="1"/>
  <c r="B35" i="1" l="1"/>
  <c r="C11" i="8" s="1"/>
  <c r="T5" i="8"/>
  <c r="T4" i="10"/>
  <c r="B40" i="4"/>
  <c r="C3" i="4"/>
  <c r="V4" i="6"/>
  <c r="E36" i="6"/>
  <c r="B40" i="6"/>
  <c r="T4" i="5"/>
  <c r="H35" i="4"/>
  <c r="H36" i="4"/>
  <c r="F38" i="5" l="1"/>
  <c r="J42" i="4"/>
  <c r="J41" i="4"/>
  <c r="F38" i="10"/>
  <c r="F38" i="8"/>
  <c r="D29" i="6"/>
  <c r="K42" i="6"/>
  <c r="K41" i="6"/>
  <c r="J42" i="6"/>
  <c r="G41" i="8"/>
  <c r="B7" i="11" s="1"/>
  <c r="J41" i="6"/>
  <c r="G42" i="8"/>
  <c r="B8" i="11" s="1"/>
  <c r="C31" i="10"/>
  <c r="E35" i="1"/>
  <c r="E36" i="1"/>
  <c r="C24" i="6"/>
  <c r="D20" i="4"/>
  <c r="C29" i="10"/>
  <c r="D29" i="4"/>
  <c r="D20" i="6"/>
  <c r="C23" i="6"/>
  <c r="C30" i="6"/>
  <c r="C23" i="10"/>
  <c r="C22" i="10"/>
  <c r="C25" i="10"/>
  <c r="C32" i="10"/>
  <c r="C15" i="5"/>
  <c r="D16" i="4"/>
  <c r="D30" i="6"/>
  <c r="E30" i="6" s="1"/>
  <c r="C30" i="5"/>
  <c r="D26" i="4"/>
  <c r="C16" i="10"/>
  <c r="C21" i="10"/>
  <c r="D31" i="4"/>
  <c r="C18" i="10"/>
  <c r="C32" i="8"/>
  <c r="C24" i="8"/>
  <c r="C16" i="8"/>
  <c r="C30" i="8"/>
  <c r="C29" i="8"/>
  <c r="C21" i="8"/>
  <c r="C22" i="8"/>
  <c r="C28" i="10"/>
  <c r="C26" i="8"/>
  <c r="C18" i="8"/>
  <c r="C27" i="8"/>
  <c r="C24" i="10"/>
  <c r="C31" i="8"/>
  <c r="C23" i="8"/>
  <c r="C15" i="8"/>
  <c r="C19" i="8"/>
  <c r="C28" i="8"/>
  <c r="C20" i="8"/>
  <c r="C15" i="10"/>
  <c r="C25" i="8"/>
  <c r="C17" i="8"/>
  <c r="D19" i="4"/>
  <c r="D23" i="6"/>
  <c r="C31" i="5"/>
  <c r="D21" i="6"/>
  <c r="D15" i="6"/>
  <c r="C32" i="6"/>
  <c r="C21" i="6"/>
  <c r="C19" i="6"/>
  <c r="D26" i="6"/>
  <c r="C26" i="5"/>
  <c r="C27" i="10"/>
  <c r="C19" i="10"/>
  <c r="C19" i="5"/>
  <c r="C32" i="5"/>
  <c r="C20" i="10"/>
  <c r="E29" i="6"/>
  <c r="D22" i="4"/>
  <c r="C20" i="6"/>
  <c r="D18" i="6"/>
  <c r="C17" i="10"/>
  <c r="D32" i="6"/>
  <c r="E32" i="6" s="1"/>
  <c r="D19" i="6"/>
  <c r="C15" i="6"/>
  <c r="C28" i="6"/>
  <c r="D31" i="6"/>
  <c r="E31" i="6" s="1"/>
  <c r="C26" i="6"/>
  <c r="D28" i="4"/>
  <c r="C22" i="5"/>
  <c r="C23" i="5"/>
  <c r="C29" i="5"/>
  <c r="D18" i="4"/>
  <c r="C28" i="5"/>
  <c r="C27" i="5"/>
  <c r="C18" i="6"/>
  <c r="C17" i="5"/>
  <c r="D27" i="4"/>
  <c r="C16" i="6"/>
  <c r="C17" i="6"/>
  <c r="D28" i="6"/>
  <c r="C31" i="6"/>
  <c r="D22" i="6"/>
  <c r="D25" i="6"/>
  <c r="D15" i="4"/>
  <c r="C18" i="5"/>
  <c r="D23" i="4"/>
  <c r="C25" i="5"/>
  <c r="D32" i="4"/>
  <c r="C24" i="5"/>
  <c r="C30" i="10"/>
  <c r="D27" i="6"/>
  <c r="C16" i="5"/>
  <c r="C29" i="6"/>
  <c r="D17" i="4"/>
  <c r="D4" i="4"/>
  <c r="D16" i="6"/>
  <c r="D17" i="6"/>
  <c r="D24" i="6"/>
  <c r="C27" i="6"/>
  <c r="C22" i="6"/>
  <c r="C25" i="6"/>
  <c r="C26" i="10"/>
  <c r="D25" i="4"/>
  <c r="D30" i="4"/>
  <c r="C21" i="5"/>
  <c r="D24" i="4"/>
  <c r="C20" i="5"/>
  <c r="D21" i="4"/>
  <c r="D7" i="6"/>
  <c r="D5" i="6"/>
  <c r="D3" i="6"/>
  <c r="D3" i="4"/>
  <c r="D13" i="4"/>
  <c r="D8" i="6"/>
  <c r="C7" i="5"/>
  <c r="D12" i="4"/>
  <c r="C8" i="6"/>
  <c r="U4" i="8"/>
  <c r="C10" i="10"/>
  <c r="C3" i="6"/>
  <c r="D14" i="6"/>
  <c r="C10" i="6"/>
  <c r="D6" i="6"/>
  <c r="D13" i="6"/>
  <c r="C13" i="5"/>
  <c r="C11" i="6"/>
  <c r="C13" i="6"/>
  <c r="C5" i="10"/>
  <c r="C3" i="10"/>
  <c r="C9" i="5"/>
  <c r="C9" i="10"/>
  <c r="C11" i="5"/>
  <c r="D10" i="6"/>
  <c r="C4" i="6"/>
  <c r="U3" i="8"/>
  <c r="C5" i="5"/>
  <c r="C6" i="10"/>
  <c r="C13" i="10"/>
  <c r="C6" i="6"/>
  <c r="D12" i="6"/>
  <c r="D9" i="6"/>
  <c r="D14" i="4"/>
  <c r="D8" i="4"/>
  <c r="U3" i="10"/>
  <c r="C3" i="5"/>
  <c r="D11" i="6"/>
  <c r="C12" i="6"/>
  <c r="C9" i="6"/>
  <c r="D9" i="4"/>
  <c r="C14" i="10"/>
  <c r="W3" i="6"/>
  <c r="Y3" i="6" s="1"/>
  <c r="I36" i="4"/>
  <c r="X2" i="6"/>
  <c r="C8" i="5"/>
  <c r="U2" i="5"/>
  <c r="C7" i="10"/>
  <c r="F37" i="6"/>
  <c r="W2" i="6"/>
  <c r="Y2" i="6" s="1"/>
  <c r="C14" i="5"/>
  <c r="C4" i="10"/>
  <c r="C8" i="8"/>
  <c r="C3" i="8"/>
  <c r="C4" i="5"/>
  <c r="C9" i="8"/>
  <c r="C10" i="5"/>
  <c r="C10" i="8"/>
  <c r="C6" i="5"/>
  <c r="C12" i="5"/>
  <c r="C7" i="8"/>
  <c r="U2" i="8"/>
  <c r="C12" i="8"/>
  <c r="C4" i="8"/>
  <c r="C8" i="10"/>
  <c r="U2" i="10"/>
  <c r="C14" i="8"/>
  <c r="C6" i="8"/>
  <c r="C13" i="8"/>
  <c r="C5" i="8"/>
  <c r="C12" i="10"/>
  <c r="D5" i="4"/>
  <c r="U3" i="5"/>
  <c r="C11" i="10"/>
  <c r="C5" i="6"/>
  <c r="C14" i="6"/>
  <c r="C7" i="6"/>
  <c r="D4" i="6"/>
  <c r="X3" i="6"/>
  <c r="D11" i="4"/>
  <c r="D7" i="4"/>
  <c r="D10" i="4"/>
  <c r="D6" i="4"/>
  <c r="T6" i="8"/>
  <c r="U5" i="8"/>
  <c r="U4" i="10"/>
  <c r="T5" i="10"/>
  <c r="X4" i="6"/>
  <c r="W4" i="6"/>
  <c r="Y4" i="6" s="1"/>
  <c r="V5" i="6"/>
  <c r="U4" i="5"/>
  <c r="T5" i="5"/>
  <c r="I41" i="10" l="1"/>
  <c r="G41" i="10" s="1"/>
  <c r="C7" i="11" s="1"/>
  <c r="I42" i="10"/>
  <c r="G42" i="10" s="1"/>
  <c r="C8" i="11" s="1"/>
  <c r="E27" i="6"/>
  <c r="E21" i="6"/>
  <c r="E20" i="6"/>
  <c r="E25" i="6"/>
  <c r="F25" i="6" s="1"/>
  <c r="E28" i="6"/>
  <c r="E19" i="6"/>
  <c r="E23" i="6"/>
  <c r="F23" i="6" s="1"/>
  <c r="E22" i="6"/>
  <c r="F22" i="6" s="1"/>
  <c r="E18" i="6"/>
  <c r="F18" i="6" s="1"/>
  <c r="E26" i="6"/>
  <c r="E24" i="6"/>
  <c r="F24" i="6" s="1"/>
  <c r="H42" i="6"/>
  <c r="F8" i="11" s="1"/>
  <c r="E15" i="6"/>
  <c r="F15" i="6" s="1"/>
  <c r="H41" i="6"/>
  <c r="F7" i="11" s="1"/>
  <c r="E17" i="6"/>
  <c r="E16" i="6"/>
  <c r="I41" i="5"/>
  <c r="G41" i="5" s="1"/>
  <c r="E7" i="11" s="1"/>
  <c r="I42" i="5"/>
  <c r="G42" i="5" s="1"/>
  <c r="E8" i="11" s="1"/>
  <c r="E4" i="4"/>
  <c r="F32" i="6"/>
  <c r="D31" i="10"/>
  <c r="F29" i="6"/>
  <c r="E30" i="4"/>
  <c r="D30" i="8"/>
  <c r="D32" i="5"/>
  <c r="D27" i="8"/>
  <c r="E16" i="4"/>
  <c r="D26" i="10"/>
  <c r="E17" i="4"/>
  <c r="E23" i="4"/>
  <c r="D23" i="5"/>
  <c r="D19" i="5"/>
  <c r="D20" i="8"/>
  <c r="D18" i="8"/>
  <c r="D24" i="8"/>
  <c r="D15" i="5"/>
  <c r="E29" i="4"/>
  <c r="D29" i="5"/>
  <c r="D22" i="5"/>
  <c r="D32" i="8"/>
  <c r="E31" i="4"/>
  <c r="D32" i="10"/>
  <c r="D29" i="10"/>
  <c r="E25" i="4"/>
  <c r="D19" i="10"/>
  <c r="E21" i="4"/>
  <c r="D16" i="5"/>
  <c r="E15" i="4"/>
  <c r="D17" i="5"/>
  <c r="E28" i="4"/>
  <c r="D27" i="10"/>
  <c r="D31" i="5"/>
  <c r="D19" i="8"/>
  <c r="D28" i="10"/>
  <c r="D18" i="10"/>
  <c r="D21" i="10"/>
  <c r="D25" i="10"/>
  <c r="E20" i="4"/>
  <c r="E32" i="4"/>
  <c r="E27" i="4"/>
  <c r="D26" i="8"/>
  <c r="D20" i="5"/>
  <c r="D26" i="5"/>
  <c r="D15" i="8"/>
  <c r="D22" i="8"/>
  <c r="D16" i="10"/>
  <c r="D22" i="10"/>
  <c r="D20" i="10"/>
  <c r="D24" i="10"/>
  <c r="D16" i="8"/>
  <c r="D17" i="10"/>
  <c r="E24" i="4"/>
  <c r="D30" i="10"/>
  <c r="D27" i="5"/>
  <c r="E22" i="4"/>
  <c r="E19" i="4"/>
  <c r="D23" i="8"/>
  <c r="D21" i="8"/>
  <c r="E26" i="4"/>
  <c r="D23" i="10"/>
  <c r="E18" i="4"/>
  <c r="D25" i="8"/>
  <c r="D25" i="5"/>
  <c r="D15" i="10"/>
  <c r="D18" i="5"/>
  <c r="D28" i="8"/>
  <c r="D21" i="5"/>
  <c r="D24" i="5"/>
  <c r="D28" i="5"/>
  <c r="D17" i="8"/>
  <c r="D31" i="8"/>
  <c r="D29" i="8"/>
  <c r="D30" i="5"/>
  <c r="F30" i="6"/>
  <c r="F28" i="6"/>
  <c r="F31" i="6"/>
  <c r="E3" i="6"/>
  <c r="E5" i="6"/>
  <c r="E6" i="6"/>
  <c r="E10" i="6"/>
  <c r="E4" i="6"/>
  <c r="E12" i="6"/>
  <c r="E13" i="6"/>
  <c r="E11" i="6"/>
  <c r="E14" i="6"/>
  <c r="E7" i="6"/>
  <c r="D6" i="5"/>
  <c r="D5" i="5"/>
  <c r="D10" i="5"/>
  <c r="D13" i="5"/>
  <c r="D4" i="5"/>
  <c r="D11" i="5"/>
  <c r="D7" i="5"/>
  <c r="D14" i="5"/>
  <c r="D8" i="5"/>
  <c r="D9" i="5"/>
  <c r="D12" i="5"/>
  <c r="D9" i="10"/>
  <c r="D5" i="10"/>
  <c r="D13" i="10"/>
  <c r="D10" i="10"/>
  <c r="D6" i="10"/>
  <c r="D8" i="10"/>
  <c r="D14" i="10"/>
  <c r="D3" i="10"/>
  <c r="D7" i="10"/>
  <c r="D4" i="10"/>
  <c r="D11" i="10"/>
  <c r="D12" i="10"/>
  <c r="D11" i="8"/>
  <c r="D12" i="8"/>
  <c r="D8" i="8"/>
  <c r="D6" i="8"/>
  <c r="D13" i="8"/>
  <c r="D14" i="8"/>
  <c r="D7" i="8"/>
  <c r="D5" i="8"/>
  <c r="D10" i="8"/>
  <c r="D4" i="8"/>
  <c r="D9" i="8"/>
  <c r="E8" i="6"/>
  <c r="E9" i="6"/>
  <c r="E11" i="4"/>
  <c r="E5" i="4"/>
  <c r="E9" i="4"/>
  <c r="E12" i="4"/>
  <c r="E6" i="4"/>
  <c r="E13" i="4"/>
  <c r="E3" i="4"/>
  <c r="E8" i="4"/>
  <c r="E7" i="4"/>
  <c r="E14" i="4"/>
  <c r="E10" i="4"/>
  <c r="D3" i="8"/>
  <c r="B40" i="8"/>
  <c r="D3" i="5"/>
  <c r="B40" i="5"/>
  <c r="B40" i="10"/>
  <c r="U6" i="8"/>
  <c r="T7" i="8"/>
  <c r="U5" i="10"/>
  <c r="T6" i="10"/>
  <c r="X5" i="6"/>
  <c r="W5" i="6"/>
  <c r="Y5" i="6" s="1"/>
  <c r="V6" i="6"/>
  <c r="T6" i="5"/>
  <c r="U5" i="5"/>
  <c r="B39" i="8" l="1"/>
  <c r="B41" i="8" s="1"/>
  <c r="F27" i="6"/>
  <c r="F21" i="6"/>
  <c r="F17" i="6"/>
  <c r="F19" i="6"/>
  <c r="F20" i="6"/>
  <c r="F26" i="6"/>
  <c r="F16" i="6"/>
  <c r="F10" i="6"/>
  <c r="F4" i="6"/>
  <c r="F14" i="6"/>
  <c r="F6" i="6"/>
  <c r="F3" i="6"/>
  <c r="F11" i="6"/>
  <c r="F5" i="6"/>
  <c r="F13" i="6"/>
  <c r="F12" i="6"/>
  <c r="F7" i="6"/>
  <c r="F8" i="6"/>
  <c r="F9" i="6"/>
  <c r="B39" i="10"/>
  <c r="B39" i="4"/>
  <c r="B39" i="5"/>
  <c r="B41" i="5" s="1"/>
  <c r="T8" i="8"/>
  <c r="U7" i="8"/>
  <c r="U6" i="10"/>
  <c r="T7" i="10"/>
  <c r="V7" i="6"/>
  <c r="X6" i="6"/>
  <c r="W6" i="6"/>
  <c r="Y6" i="6" s="1"/>
  <c r="T7" i="5"/>
  <c r="U6" i="5"/>
  <c r="B41" i="10" l="1"/>
  <c r="C45" i="10"/>
  <c r="C46" i="10"/>
  <c r="B41" i="4"/>
  <c r="C46" i="5"/>
  <c r="C45" i="5"/>
  <c r="C46" i="4"/>
  <c r="C45" i="4"/>
  <c r="C46" i="8"/>
  <c r="C45" i="8"/>
  <c r="E10" i="7"/>
  <c r="B39" i="6"/>
  <c r="E7" i="7"/>
  <c r="U8" i="8"/>
  <c r="T9" i="8"/>
  <c r="U7" i="10"/>
  <c r="T8" i="10"/>
  <c r="W7" i="6"/>
  <c r="Y7" i="6" s="1"/>
  <c r="V8" i="6"/>
  <c r="X7" i="6"/>
  <c r="U7" i="5"/>
  <c r="T8" i="5"/>
  <c r="E9" i="7" l="1"/>
  <c r="E8" i="7"/>
  <c r="F9" i="7"/>
  <c r="G10" i="7"/>
  <c r="F8" i="7"/>
  <c r="B41" i="6"/>
  <c r="C46" i="6"/>
  <c r="C45" i="6"/>
  <c r="G8" i="7"/>
  <c r="G9" i="7"/>
  <c r="F10" i="7"/>
  <c r="F7" i="7"/>
  <c r="G7" i="7"/>
  <c r="U9" i="8"/>
  <c r="T10" i="8"/>
  <c r="T9" i="10"/>
  <c r="U8" i="10"/>
  <c r="X8" i="6"/>
  <c r="W8" i="6"/>
  <c r="Y8" i="6" s="1"/>
  <c r="V9" i="6"/>
  <c r="U8" i="5"/>
  <c r="T9" i="5"/>
  <c r="E12" i="7" l="1"/>
  <c r="E13" i="7"/>
  <c r="E11" i="7"/>
  <c r="H7" i="7" s="1"/>
  <c r="G11" i="7"/>
  <c r="J11" i="7" s="1"/>
  <c r="T11" i="8"/>
  <c r="U10" i="8"/>
  <c r="T10" i="10"/>
  <c r="U9" i="10"/>
  <c r="X9" i="6"/>
  <c r="W9" i="6"/>
  <c r="V10" i="6"/>
  <c r="T10" i="5"/>
  <c r="U9" i="5"/>
  <c r="H10" i="7" l="1"/>
  <c r="H8" i="7"/>
  <c r="H11" i="7"/>
  <c r="H9" i="7"/>
  <c r="J7" i="7"/>
  <c r="J10" i="7"/>
  <c r="J9" i="7"/>
  <c r="J8" i="7"/>
  <c r="F11" i="7"/>
  <c r="I8" i="7" s="1"/>
  <c r="Y9" i="6"/>
  <c r="U11" i="8"/>
  <c r="T12" i="8"/>
  <c r="U10" i="10"/>
  <c r="T11" i="10"/>
  <c r="V11" i="6"/>
  <c r="W10" i="6"/>
  <c r="X10" i="6"/>
  <c r="T11" i="5"/>
  <c r="U10" i="5"/>
  <c r="K8" i="7" l="1"/>
  <c r="I10" i="7"/>
  <c r="K10" i="7" s="1"/>
  <c r="I7" i="7"/>
  <c r="K7" i="7" s="1"/>
  <c r="I9" i="7"/>
  <c r="K9" i="7" s="1"/>
  <c r="I11" i="7"/>
  <c r="K11" i="7" s="1"/>
  <c r="Y10" i="6"/>
  <c r="T13" i="8"/>
  <c r="U12" i="8"/>
  <c r="U11" i="10"/>
  <c r="T12" i="10"/>
  <c r="W11" i="6"/>
  <c r="V12" i="6"/>
  <c r="X11" i="6"/>
  <c r="U11" i="5"/>
  <c r="T12" i="5"/>
  <c r="Y11" i="6" l="1"/>
  <c r="T14" i="8"/>
  <c r="U13" i="8"/>
  <c r="U12" i="10"/>
  <c r="T13" i="10"/>
  <c r="X12" i="6"/>
  <c r="W12" i="6"/>
  <c r="V13" i="6"/>
  <c r="U12" i="5"/>
  <c r="T13" i="5"/>
  <c r="Y12" i="6" l="1"/>
  <c r="U14" i="8"/>
  <c r="T15" i="8"/>
  <c r="U13" i="10"/>
  <c r="T14" i="10"/>
  <c r="X13" i="6"/>
  <c r="W13" i="6"/>
  <c r="V14" i="6"/>
  <c r="T14" i="5"/>
  <c r="U13" i="5"/>
  <c r="Y13" i="6" l="1"/>
  <c r="U15" i="8"/>
  <c r="T16" i="8"/>
  <c r="T15" i="10"/>
  <c r="U14" i="10"/>
  <c r="V15" i="6"/>
  <c r="W14" i="6"/>
  <c r="X14" i="6"/>
  <c r="T15" i="5"/>
  <c r="U14" i="5"/>
  <c r="Y14" i="6" l="1"/>
  <c r="U16" i="8"/>
  <c r="T17" i="8"/>
  <c r="U15" i="10"/>
  <c r="T16" i="10"/>
  <c r="W15" i="6"/>
  <c r="V16" i="6"/>
  <c r="X15" i="6"/>
  <c r="U15" i="5"/>
  <c r="T16" i="5"/>
  <c r="W22" i="4"/>
  <c r="W52" i="4"/>
  <c r="W10" i="4"/>
  <c r="W28" i="4"/>
  <c r="W27" i="4"/>
  <c r="W37" i="4"/>
  <c r="W29" i="4"/>
  <c r="W6" i="4"/>
  <c r="W31" i="4"/>
  <c r="W11" i="4"/>
  <c r="W18" i="4"/>
  <c r="W30" i="4"/>
  <c r="W51" i="4"/>
  <c r="W48" i="4"/>
  <c r="W35" i="4"/>
  <c r="W46" i="4"/>
  <c r="W7" i="4"/>
  <c r="W17" i="4"/>
  <c r="W36" i="4"/>
  <c r="W47" i="4"/>
  <c r="W3" i="4"/>
  <c r="W16" i="4"/>
  <c r="W19" i="4"/>
  <c r="W39" i="4"/>
  <c r="W49" i="4"/>
  <c r="W23" i="4"/>
  <c r="W8" i="4"/>
  <c r="W33" i="4"/>
  <c r="W41" i="4"/>
  <c r="W45" i="4"/>
  <c r="W26" i="4"/>
  <c r="W50" i="4"/>
  <c r="W43" i="4"/>
  <c r="W15" i="4"/>
  <c r="W20" i="4"/>
  <c r="W24" i="4"/>
  <c r="W32" i="4"/>
  <c r="W40" i="4"/>
  <c r="W5" i="4"/>
  <c r="W14" i="4"/>
  <c r="W34" i="4"/>
  <c r="W25" i="4"/>
  <c r="W12" i="4"/>
  <c r="W44" i="4"/>
  <c r="W21" i="4"/>
  <c r="W2" i="4"/>
  <c r="W42" i="4"/>
  <c r="W9" i="4"/>
  <c r="W38" i="4"/>
  <c r="W4" i="4"/>
  <c r="W13" i="4"/>
  <c r="X58" i="4" l="1"/>
  <c r="X57" i="4"/>
  <c r="Y15" i="6"/>
  <c r="T18" i="8"/>
  <c r="U17" i="8"/>
  <c r="U16" i="10"/>
  <c r="T17" i="10"/>
  <c r="X16" i="6"/>
  <c r="W16" i="6"/>
  <c r="V17" i="6"/>
  <c r="U16" i="5"/>
  <c r="T17" i="5"/>
  <c r="V57" i="8" l="1"/>
  <c r="V58" i="8"/>
  <c r="X58" i="6"/>
  <c r="X57" i="6"/>
  <c r="Y16" i="6"/>
  <c r="T19" i="8"/>
  <c r="U18" i="8"/>
  <c r="U17" i="10"/>
  <c r="T18" i="10"/>
  <c r="X17" i="6"/>
  <c r="W17" i="6"/>
  <c r="V18" i="6"/>
  <c r="T18" i="5"/>
  <c r="U17" i="5"/>
  <c r="V58" i="10" l="1"/>
  <c r="V57" i="10"/>
  <c r="V57" i="5"/>
  <c r="V58" i="5"/>
  <c r="Y17" i="6"/>
  <c r="T20" i="8"/>
  <c r="U19" i="8"/>
  <c r="U18" i="10"/>
  <c r="T19" i="10"/>
  <c r="W18" i="6"/>
  <c r="V19" i="6"/>
  <c r="X18" i="6"/>
  <c r="T19" i="5"/>
  <c r="U18" i="5"/>
  <c r="Y18" i="6" l="1"/>
  <c r="U20" i="8"/>
  <c r="T21" i="8"/>
  <c r="U19" i="10"/>
  <c r="T20" i="10"/>
  <c r="U20" i="10" s="1"/>
  <c r="W19" i="6"/>
  <c r="V20" i="6"/>
  <c r="X19" i="6"/>
  <c r="U19" i="5"/>
  <c r="T20" i="5"/>
  <c r="Y19" i="6" l="1"/>
  <c r="U21" i="8"/>
  <c r="T22" i="8"/>
  <c r="T21" i="10"/>
  <c r="X20" i="6"/>
  <c r="W20" i="6"/>
  <c r="V21" i="6"/>
  <c r="U20" i="5"/>
  <c r="T21" i="5"/>
  <c r="Y20" i="6" l="1"/>
  <c r="U22" i="8"/>
  <c r="T23" i="8"/>
  <c r="U21" i="10"/>
  <c r="T22" i="10"/>
  <c r="X21" i="6"/>
  <c r="W21" i="6"/>
  <c r="V22" i="6"/>
  <c r="T22" i="5"/>
  <c r="U21" i="5"/>
  <c r="Y21" i="6" l="1"/>
  <c r="U23" i="8"/>
  <c r="T24" i="8"/>
  <c r="U22" i="10"/>
  <c r="T23" i="10"/>
  <c r="V23" i="6"/>
  <c r="W22" i="6"/>
  <c r="X22" i="6"/>
  <c r="U22" i="5"/>
  <c r="T23" i="5"/>
  <c r="Y22" i="6" l="1"/>
  <c r="U24" i="8"/>
  <c r="T25" i="8"/>
  <c r="U23" i="10"/>
  <c r="T24" i="10"/>
  <c r="W23" i="6"/>
  <c r="V24" i="6"/>
  <c r="X23" i="6"/>
  <c r="U23" i="5"/>
  <c r="T24" i="5"/>
  <c r="Y23" i="6" l="1"/>
  <c r="T26" i="8"/>
  <c r="U25" i="8"/>
  <c r="U24" i="10"/>
  <c r="T25" i="10"/>
  <c r="X24" i="6"/>
  <c r="W24" i="6"/>
  <c r="V25" i="6"/>
  <c r="U24" i="5"/>
  <c r="T25" i="5"/>
  <c r="Y24" i="6" l="1"/>
  <c r="T27" i="8"/>
  <c r="U26" i="8"/>
  <c r="U25" i="10"/>
  <c r="T26" i="10"/>
  <c r="X25" i="6"/>
  <c r="W25" i="6"/>
  <c r="V26" i="6"/>
  <c r="T26" i="5"/>
  <c r="U25" i="5"/>
  <c r="Y25" i="6" l="1"/>
  <c r="U27" i="8"/>
  <c r="T28" i="8"/>
  <c r="U26" i="10"/>
  <c r="T27" i="10"/>
  <c r="V27" i="6"/>
  <c r="W26" i="6"/>
  <c r="X26" i="6"/>
  <c r="T27" i="5"/>
  <c r="U26" i="5"/>
  <c r="Y26" i="6" l="1"/>
  <c r="U28" i="8"/>
  <c r="T29" i="8"/>
  <c r="U27" i="10"/>
  <c r="T28" i="10"/>
  <c r="W27" i="6"/>
  <c r="V28" i="6"/>
  <c r="X27" i="6"/>
  <c r="U27" i="5"/>
  <c r="T28" i="5"/>
  <c r="Y27" i="6" l="1"/>
  <c r="U29" i="8"/>
  <c r="T30" i="8"/>
  <c r="T29" i="10"/>
  <c r="U28" i="10"/>
  <c r="X28" i="6"/>
  <c r="W28" i="6"/>
  <c r="V29" i="6"/>
  <c r="U28" i="5"/>
  <c r="T29" i="5"/>
  <c r="Y28" i="6" l="1"/>
  <c r="U30" i="8"/>
  <c r="T31" i="8"/>
  <c r="U29" i="10"/>
  <c r="T30" i="10"/>
  <c r="X29" i="6"/>
  <c r="W29" i="6"/>
  <c r="V30" i="6"/>
  <c r="T30" i="5"/>
  <c r="U29" i="5"/>
  <c r="Y29" i="6" l="1"/>
  <c r="U31" i="8"/>
  <c r="T32" i="8"/>
  <c r="U30" i="10"/>
  <c r="T31" i="10"/>
  <c r="V31" i="6"/>
  <c r="W30" i="6"/>
  <c r="X30" i="6"/>
  <c r="T31" i="5"/>
  <c r="U30" i="5"/>
  <c r="Y30" i="6" l="1"/>
  <c r="T33" i="8"/>
  <c r="U32" i="8"/>
  <c r="U31" i="10"/>
  <c r="T32" i="10"/>
  <c r="W31" i="6"/>
  <c r="V32" i="6"/>
  <c r="X31" i="6"/>
  <c r="U31" i="5"/>
  <c r="T32" i="5"/>
  <c r="Y31" i="6" l="1"/>
  <c r="T34" i="8"/>
  <c r="U33" i="8"/>
  <c r="U32" i="10"/>
  <c r="T33" i="10"/>
  <c r="X32" i="6"/>
  <c r="W32" i="6"/>
  <c r="V33" i="6"/>
  <c r="T33" i="5"/>
  <c r="U32" i="5"/>
  <c r="Y32" i="6" l="1"/>
  <c r="T35" i="8"/>
  <c r="U34" i="8"/>
  <c r="U33" i="10"/>
  <c r="T34" i="10"/>
  <c r="V34" i="6"/>
  <c r="X33" i="6"/>
  <c r="Y33" i="6" s="1"/>
  <c r="W33" i="6"/>
  <c r="T34" i="5"/>
  <c r="U33" i="5"/>
  <c r="T36" i="8" l="1"/>
  <c r="U35" i="8"/>
  <c r="U34" i="10"/>
  <c r="T35" i="10"/>
  <c r="X34" i="6"/>
  <c r="Y34" i="6" s="1"/>
  <c r="W34" i="6"/>
  <c r="V35" i="6"/>
  <c r="T35" i="5"/>
  <c r="U34" i="5"/>
  <c r="T37" i="8" l="1"/>
  <c r="U36" i="8"/>
  <c r="T36" i="10"/>
  <c r="U35" i="10"/>
  <c r="V36" i="6"/>
  <c r="X35" i="6"/>
  <c r="Y35" i="6" s="1"/>
  <c r="W35" i="6"/>
  <c r="T36" i="5"/>
  <c r="U35" i="5"/>
  <c r="T38" i="8" l="1"/>
  <c r="U37" i="8"/>
  <c r="U36" i="10"/>
  <c r="T37" i="10"/>
  <c r="W36" i="6"/>
  <c r="V37" i="6"/>
  <c r="X36" i="6"/>
  <c r="Y36" i="6" s="1"/>
  <c r="T37" i="5"/>
  <c r="U36" i="5"/>
  <c r="T39" i="8" l="1"/>
  <c r="U38" i="8"/>
  <c r="U37" i="10"/>
  <c r="T38" i="10"/>
  <c r="V38" i="6"/>
  <c r="X37" i="6"/>
  <c r="Y37" i="6" s="1"/>
  <c r="W37" i="6"/>
  <c r="T38" i="5"/>
  <c r="U37" i="5"/>
  <c r="T40" i="8" l="1"/>
  <c r="U39" i="8"/>
  <c r="T39" i="10"/>
  <c r="U38" i="10"/>
  <c r="X38" i="6"/>
  <c r="Y38" i="6" s="1"/>
  <c r="V39" i="6"/>
  <c r="W38" i="6"/>
  <c r="U38" i="5"/>
  <c r="T39" i="5"/>
  <c r="T41" i="8" l="1"/>
  <c r="U40" i="8"/>
  <c r="T40" i="10"/>
  <c r="U39" i="10"/>
  <c r="V40" i="6"/>
  <c r="X39" i="6"/>
  <c r="Y39" i="6" s="1"/>
  <c r="W39" i="6"/>
  <c r="T40" i="5"/>
  <c r="U39" i="5"/>
  <c r="T42" i="8" l="1"/>
  <c r="U41" i="8"/>
  <c r="T41" i="10"/>
  <c r="U40" i="10"/>
  <c r="V41" i="6"/>
  <c r="X40" i="6"/>
  <c r="Y40" i="6" s="1"/>
  <c r="W40" i="6"/>
  <c r="U40" i="5"/>
  <c r="T41" i="5"/>
  <c r="U42" i="8" l="1"/>
  <c r="T43" i="8"/>
  <c r="T42" i="10"/>
  <c r="U41" i="10"/>
  <c r="X41" i="6"/>
  <c r="Y41" i="6" s="1"/>
  <c r="W41" i="6"/>
  <c r="V42" i="6"/>
  <c r="T42" i="5"/>
  <c r="U41" i="5"/>
  <c r="T44" i="8" l="1"/>
  <c r="U43" i="8"/>
  <c r="T43" i="10"/>
  <c r="U42" i="10"/>
  <c r="V43" i="6"/>
  <c r="W42" i="6"/>
  <c r="X42" i="6"/>
  <c r="Y42" i="6" s="1"/>
  <c r="T43" i="5"/>
  <c r="U42" i="5"/>
  <c r="T45" i="8" l="1"/>
  <c r="U44" i="8"/>
  <c r="T44" i="10"/>
  <c r="U43" i="10"/>
  <c r="X43" i="6"/>
  <c r="Y43" i="6" s="1"/>
  <c r="W43" i="6"/>
  <c r="V44" i="6"/>
  <c r="T44" i="5"/>
  <c r="U43" i="5"/>
  <c r="T46" i="8" l="1"/>
  <c r="U45" i="8"/>
  <c r="T45" i="10"/>
  <c r="U44" i="10"/>
  <c r="V45" i="6"/>
  <c r="W44" i="6"/>
  <c r="X44" i="6"/>
  <c r="Y44" i="6" s="1"/>
  <c r="T45" i="5"/>
  <c r="U44" i="5"/>
  <c r="U46" i="8" l="1"/>
  <c r="T47" i="8"/>
  <c r="T46" i="10"/>
  <c r="U45" i="10"/>
  <c r="X45" i="6"/>
  <c r="Y45" i="6" s="1"/>
  <c r="W45" i="6"/>
  <c r="V46" i="6"/>
  <c r="T46" i="5"/>
  <c r="U45" i="5"/>
  <c r="T48" i="8" l="1"/>
  <c r="U47" i="8"/>
  <c r="T47" i="10"/>
  <c r="U46" i="10"/>
  <c r="W46" i="6"/>
  <c r="V47" i="6"/>
  <c r="X46" i="6"/>
  <c r="Y46" i="6" s="1"/>
  <c r="T47" i="5"/>
  <c r="U46" i="5"/>
  <c r="T49" i="8" l="1"/>
  <c r="U48" i="8"/>
  <c r="T48" i="10"/>
  <c r="U47" i="10"/>
  <c r="X47" i="6"/>
  <c r="Y47" i="6" s="1"/>
  <c r="W47" i="6"/>
  <c r="V48" i="6"/>
  <c r="T48" i="5"/>
  <c r="U47" i="5"/>
  <c r="T50" i="8" l="1"/>
  <c r="U49" i="8"/>
  <c r="T49" i="10"/>
  <c r="U48" i="10"/>
  <c r="V49" i="6"/>
  <c r="X48" i="6"/>
  <c r="Y48" i="6" s="1"/>
  <c r="W48" i="6"/>
  <c r="U48" i="5"/>
  <c r="T49" i="5"/>
  <c r="U50" i="8" l="1"/>
  <c r="T51" i="8"/>
  <c r="T50" i="10"/>
  <c r="U49" i="10"/>
  <c r="X49" i="6"/>
  <c r="Y49" i="6" s="1"/>
  <c r="W49" i="6"/>
  <c r="V50" i="6"/>
  <c r="T50" i="5"/>
  <c r="U49" i="5"/>
  <c r="T52" i="8" l="1"/>
  <c r="U52" i="8" s="1"/>
  <c r="U51" i="8"/>
  <c r="T51" i="10"/>
  <c r="U50" i="10"/>
  <c r="V51" i="6"/>
  <c r="W50" i="6"/>
  <c r="X50" i="6"/>
  <c r="Y50" i="6" s="1"/>
  <c r="T51" i="5"/>
  <c r="U50" i="5"/>
  <c r="T52" i="10" l="1"/>
  <c r="U52" i="10" s="1"/>
  <c r="U51" i="10"/>
  <c r="X51" i="6"/>
  <c r="Y51" i="6" s="1"/>
  <c r="W51" i="6"/>
  <c r="V52" i="6"/>
  <c r="T52" i="5"/>
  <c r="U52" i="5" s="1"/>
  <c r="U51" i="5"/>
  <c r="W52" i="6" l="1"/>
  <c r="X52" i="6"/>
  <c r="Y52" i="6" s="1"/>
  <c r="H42" i="4" l="1"/>
  <c r="D8" i="11" s="1"/>
  <c r="H41" i="4"/>
  <c r="D7" i="11" s="1"/>
  <c r="I8" i="11" l="1"/>
  <c r="I7" i="1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Lucon, Enrico (Fed)</author>
  </authors>
  <commentList>
    <comment ref="F34" authorId="0" shapeId="0" xr:uid="{EC5A38D2-D1B4-43E6-BE6E-4F574A708C1E}">
      <text>
        <r>
          <rPr>
            <sz val="9"/>
            <color indexed="81"/>
            <rFont val="Tahoma"/>
            <family val="2"/>
          </rPr>
          <t>If US and LS are automatically calculated based on SFA values, leave these cells empty.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Lucon, Enrico (Fed)</author>
  </authors>
  <commentList>
    <comment ref="T2" authorId="0" shapeId="0" xr:uid="{161E2987-8A92-4233-B650-00C40D341233}">
      <text>
        <r>
          <rPr>
            <sz val="9"/>
            <color indexed="81"/>
            <rFont val="Tahoma"/>
            <family val="2"/>
          </rPr>
          <t>Input starting value of temperature for plot.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Lucon, Enrico (Fed)</author>
  </authors>
  <commentList>
    <comment ref="T2" authorId="0" shapeId="0" xr:uid="{793CE65B-E13A-42C3-995E-D292EAC45CEF}">
      <text>
        <r>
          <rPr>
            <sz val="9"/>
            <color indexed="81"/>
            <rFont val="Tahoma"/>
            <family val="2"/>
          </rPr>
          <t>Input starting value of temperature for plot.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Enrico Lucon</author>
  </authors>
  <commentList>
    <comment ref="U2" authorId="0" shapeId="0" xr:uid="{DD6E6DAE-DFB8-44A0-8F05-FAE84D5AD5B5}">
      <text>
        <r>
          <rPr>
            <sz val="9"/>
            <color indexed="81"/>
            <rFont val="Tahoma"/>
            <family val="2"/>
          </rPr>
          <t>Input starting value of temperature for plot.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Lucon, Enrico (Fed)</author>
  </authors>
  <commentList>
    <comment ref="T2" authorId="0" shapeId="0" xr:uid="{9AD0F9F1-F69D-465C-8D44-1DE8311B7B41}">
      <text>
        <r>
          <rPr>
            <sz val="9"/>
            <color indexed="81"/>
            <rFont val="Tahoma"/>
            <family val="2"/>
          </rPr>
          <t>Input starting value of temperature for plots.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Lucon, Enrico (Fed)</author>
  </authors>
  <commentList>
    <comment ref="V2" authorId="0" shapeId="0" xr:uid="{738FC8F1-03D2-49FC-B998-94FA393673C4}">
      <text>
        <r>
          <rPr>
            <sz val="9"/>
            <color indexed="81"/>
            <rFont val="Tahoma"/>
            <family val="2"/>
          </rPr>
          <t>Input starting value of temperature for plot.</t>
        </r>
      </text>
    </comment>
  </commentList>
</comments>
</file>

<file path=xl/sharedStrings.xml><?xml version="1.0" encoding="utf-8"?>
<sst xmlns="http://schemas.openxmlformats.org/spreadsheetml/2006/main" count="184" uniqueCount="74">
  <si>
    <t>T</t>
  </si>
  <si>
    <t>KV</t>
  </si>
  <si>
    <t>LE</t>
  </si>
  <si>
    <t>SFA</t>
  </si>
  <si>
    <t>(°C)</t>
  </si>
  <si>
    <t>(J)</t>
  </si>
  <si>
    <t>(mm)</t>
  </si>
  <si>
    <t>(%)</t>
  </si>
  <si>
    <t>Fit</t>
  </si>
  <si>
    <r>
      <rPr>
        <b/>
        <sz val="11"/>
        <color theme="1"/>
        <rFont val="Symbol"/>
        <family val="1"/>
        <charset val="2"/>
      </rPr>
      <t>°</t>
    </r>
    <r>
      <rPr>
        <b/>
        <sz val="11"/>
        <color theme="1"/>
        <rFont val="Calibri"/>
        <family val="2"/>
      </rPr>
      <t>C</t>
    </r>
  </si>
  <si>
    <t>SSR =</t>
  </si>
  <si>
    <t>Residual</t>
  </si>
  <si>
    <r>
      <t>T (</t>
    </r>
    <r>
      <rPr>
        <sz val="11"/>
        <color theme="1"/>
        <rFont val="Symbol"/>
        <family val="1"/>
        <charset val="2"/>
      </rPr>
      <t>°</t>
    </r>
    <r>
      <rPr>
        <sz val="11"/>
        <color theme="1"/>
        <rFont val="Calibri"/>
        <family val="2"/>
      </rPr>
      <t>C)</t>
    </r>
  </si>
  <si>
    <t>Curve</t>
  </si>
  <si>
    <t>C =</t>
  </si>
  <si>
    <t>Upper</t>
  </si>
  <si>
    <r>
      <t>T</t>
    </r>
    <r>
      <rPr>
        <b/>
        <vertAlign val="subscript"/>
        <sz val="11"/>
        <color theme="1"/>
        <rFont val="Calibri"/>
        <family val="2"/>
        <scheme val="minor"/>
      </rPr>
      <t>0</t>
    </r>
    <r>
      <rPr>
        <b/>
        <sz val="11"/>
        <color theme="1"/>
        <rFont val="Calibri"/>
        <family val="2"/>
        <scheme val="minor"/>
      </rPr>
      <t xml:space="preserve"> =</t>
    </r>
  </si>
  <si>
    <t>df =</t>
  </si>
  <si>
    <t>k =</t>
  </si>
  <si>
    <t>m =</t>
  </si>
  <si>
    <r>
      <rPr>
        <b/>
        <sz val="11"/>
        <rFont val="Symbol"/>
        <family val="1"/>
        <charset val="2"/>
      </rPr>
      <t>x</t>
    </r>
    <r>
      <rPr>
        <b/>
        <sz val="11"/>
        <rFont val="Calibri"/>
        <family val="2"/>
        <scheme val="minor"/>
      </rPr>
      <t>(T)</t>
    </r>
  </si>
  <si>
    <r>
      <rPr>
        <sz val="11"/>
        <color theme="1"/>
        <rFont val="Symbol"/>
        <family val="1"/>
        <charset val="2"/>
      </rPr>
      <t>x</t>
    </r>
    <r>
      <rPr>
        <sz val="11"/>
        <color theme="1"/>
        <rFont val="Calibri"/>
        <family val="2"/>
        <scheme val="minor"/>
      </rPr>
      <t>(T)</t>
    </r>
  </si>
  <si>
    <t>DBTT =</t>
  </si>
  <si>
    <t>Fit1</t>
  </si>
  <si>
    <t>Fit2</t>
  </si>
  <si>
    <t>p =</t>
  </si>
  <si>
    <t>Fitting</t>
  </si>
  <si>
    <t>model</t>
  </si>
  <si>
    <t>C</t>
  </si>
  <si>
    <t>Mean</t>
  </si>
  <si>
    <t>SD</t>
  </si>
  <si>
    <t>DBTT</t>
  </si>
  <si>
    <r>
      <t>(</t>
    </r>
    <r>
      <rPr>
        <b/>
        <sz val="11"/>
        <color theme="1"/>
        <rFont val="Symbol"/>
        <family val="1"/>
        <charset val="2"/>
      </rPr>
      <t>°</t>
    </r>
    <r>
      <rPr>
        <b/>
        <sz val="11"/>
        <color theme="1"/>
        <rFont val="Calibri"/>
        <family val="2"/>
      </rPr>
      <t>C)</t>
    </r>
  </si>
  <si>
    <t>D =</t>
  </si>
  <si>
    <t>Variable to fit:</t>
  </si>
  <si>
    <t>US =</t>
  </si>
  <si>
    <t>LS =</t>
  </si>
  <si>
    <t>(degrees of freedom)</t>
  </si>
  <si>
    <t>(sum of square residuals)</t>
  </si>
  <si>
    <t>RMSE =</t>
  </si>
  <si>
    <r>
      <t>Fit</t>
    </r>
    <r>
      <rPr>
        <b/>
        <vertAlign val="subscript"/>
        <sz val="11"/>
        <color theme="1"/>
        <rFont val="Calibri"/>
        <family val="2"/>
        <scheme val="minor"/>
      </rPr>
      <t xml:space="preserve">T </t>
    </r>
    <r>
      <rPr>
        <b/>
        <vertAlign val="subscript"/>
        <sz val="11"/>
        <color theme="1"/>
        <rFont val="Calibri"/>
        <family val="2"/>
      </rPr>
      <t>≤ T0</t>
    </r>
  </si>
  <si>
    <r>
      <t>Fit</t>
    </r>
    <r>
      <rPr>
        <b/>
        <vertAlign val="subscript"/>
        <sz val="11"/>
        <color theme="1"/>
        <rFont val="Calibri"/>
        <family val="2"/>
        <scheme val="minor"/>
      </rPr>
      <t xml:space="preserve">T </t>
    </r>
    <r>
      <rPr>
        <b/>
        <vertAlign val="subscript"/>
        <sz val="11"/>
        <color theme="1"/>
        <rFont val="Calibri"/>
        <family val="2"/>
      </rPr>
      <t>&gt; T0</t>
    </r>
  </si>
  <si>
    <t>RMSE</t>
  </si>
  <si>
    <t>shelf?</t>
  </si>
  <si>
    <t>AIC =</t>
  </si>
  <si>
    <t>(Akaike Information Criterion)</t>
  </si>
  <si>
    <t>BIC =</t>
  </si>
  <si>
    <t>(Bayesian Information Criterion)</t>
  </si>
  <si>
    <t>AIC</t>
  </si>
  <si>
    <t>BIC</t>
  </si>
  <si>
    <t>m</t>
  </si>
  <si>
    <t>p</t>
  </si>
  <si>
    <t xml:space="preserve">  (Akaike Information Criterion)</t>
  </si>
  <si>
    <t xml:space="preserve">  (Bayesian Information Criterion)</t>
  </si>
  <si>
    <t>x</t>
  </si>
  <si>
    <t>Manual entries</t>
  </si>
  <si>
    <r>
      <t>T (</t>
    </r>
    <r>
      <rPr>
        <b/>
        <sz val="11"/>
        <color theme="1"/>
        <rFont val="Symbol"/>
        <family val="1"/>
        <charset val="2"/>
      </rPr>
      <t>°</t>
    </r>
    <r>
      <rPr>
        <b/>
        <sz val="11"/>
        <color theme="1"/>
        <rFont val="Calibri"/>
        <family val="2"/>
      </rPr>
      <t>C)</t>
    </r>
  </si>
  <si>
    <t>D</t>
  </si>
  <si>
    <t>k</t>
  </si>
  <si>
    <r>
      <t>T</t>
    </r>
    <r>
      <rPr>
        <b/>
        <vertAlign val="subscript"/>
        <sz val="11"/>
        <color theme="1"/>
        <rFont val="Calibri"/>
        <family val="2"/>
        <scheme val="minor"/>
      </rPr>
      <t>0</t>
    </r>
  </si>
  <si>
    <t>Characteristic T</t>
  </si>
  <si>
    <t>°C</t>
  </si>
  <si>
    <t>HT</t>
  </si>
  <si>
    <t>AHT</t>
  </si>
  <si>
    <t>BUR</t>
  </si>
  <si>
    <t>ACT</t>
  </si>
  <si>
    <t>KHT</t>
  </si>
  <si>
    <t>Dataset ID:</t>
  </si>
  <si>
    <t>(1/°C)</t>
  </si>
  <si>
    <t>CHARPY DATA REGRESSION RESULTS</t>
  </si>
  <si>
    <t>Sample dataset #1 (X52 steel) - KV</t>
  </si>
  <si>
    <t>Fitting Model</t>
  </si>
  <si>
    <r>
      <t>CHARPY CHARACTERISTIC TEMPERATURES (</t>
    </r>
    <r>
      <rPr>
        <b/>
        <sz val="16"/>
        <color theme="1"/>
        <rFont val="Symbol"/>
        <family val="1"/>
        <charset val="2"/>
      </rPr>
      <t>°</t>
    </r>
    <r>
      <rPr>
        <b/>
        <sz val="16"/>
        <color theme="1"/>
        <rFont val="Calibri"/>
        <family val="2"/>
      </rPr>
      <t>C)</t>
    </r>
  </si>
  <si>
    <t>Fitting Coefficients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</si>
</sst>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.0"/>
    <numFmt numFmtId="166" formatCode="0.0000"/>
  </numFmts>
  <fonts count="27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1"/>
      <name val="Symbol"/>
      <family val="1"/>
      <charset val="2"/>
    </font>
    <font>
      <sz val="11"/>
      <color theme="1"/>
      <name val="Calibri"/>
      <family val="2"/>
    </font>
    <font>
      <sz val="11"/>
      <color theme="1"/>
      <name val="Calibri"/>
      <family val="1"/>
      <charset val="2"/>
    </font>
    <font>
      <b/>
      <vertAlign val="subscript"/>
      <sz val="11"/>
      <color theme="1"/>
      <name val="Calibri"/>
      <family val="2"/>
      <scheme val="minor"/>
    </font>
    <font>
      <b/>
      <sz val="11"/>
      <color theme="1"/>
      <name val="Calibri"/>
      <family val="1"/>
      <charset val="2"/>
    </font>
    <font>
      <b/>
      <sz val="11"/>
      <color theme="1"/>
      <name val="Symbol"/>
      <family val="1"/>
      <charset val="2"/>
    </font>
    <font>
      <b/>
      <sz val="11"/>
      <color theme="1"/>
      <name val="Calibri"/>
      <family val="2"/>
    </font>
    <font>
      <sz val="11"/>
      <color theme="1"/>
      <name val="Calibri"/>
      <family val="1"/>
      <charset val="2"/>
      <scheme val="minor"/>
    </font>
    <font>
      <b/>
      <sz val="11"/>
      <color rgb="FFFF0000"/>
      <name val="Calibri"/>
      <family val="2"/>
      <scheme val="minor"/>
    </font>
    <font>
      <b/>
      <sz val="11"/>
      <name val="Symbol"/>
      <family val="1"/>
      <charset val="2"/>
    </font>
    <font>
      <b/>
      <sz val="11"/>
      <name val="Calibri"/>
      <family val="1"/>
      <charset val="2"/>
      <scheme val="minor"/>
    </font>
    <font>
      <sz val="8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indexed="81"/>
      <name val="Tahoma"/>
      <family val="2"/>
    </font>
    <font>
      <b/>
      <vertAlign val="subscript"/>
      <sz val="11"/>
      <color theme="1"/>
      <name val="Calibri"/>
      <family val="2"/>
    </font>
    <font>
      <sz val="11"/>
      <color theme="0" tint="-0.249977111117893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000000"/>
      <name val="Calibri"/>
      <family val="2"/>
    </font>
    <font>
      <b/>
      <sz val="14"/>
      <color rgb="FF000000"/>
      <name val="Calibri"/>
      <family val="2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theme="1"/>
      <name val="Symbol"/>
      <family val="1"/>
      <charset val="2"/>
    </font>
    <font>
      <b/>
      <sz val="16"/>
      <color theme="1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</fills>
  <borders count="4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double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  <border diagonalUp="1" diagonalDown="1">
      <left style="thin">
        <color indexed="64"/>
      </left>
      <right style="thin">
        <color indexed="64"/>
      </right>
      <top/>
      <bottom/>
      <diagonal style="thin">
        <color indexed="64"/>
      </diagonal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204">
    <xf numFmtId="0" fontId="0" fillId="0" borderId="0" xfId="0"/>
    <xf numFmtId="0" fontId="15" fillId="0" borderId="0" xfId="0" applyFont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2" fontId="0" fillId="0" borderId="9" xfId="0" applyNumberFormat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2" fontId="0" fillId="0" borderId="11" xfId="0" applyNumberForma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2" fontId="0" fillId="0" borderId="10" xfId="0" applyNumberFormat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19" fillId="0" borderId="0" xfId="0" applyFont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2" fontId="1" fillId="0" borderId="2" xfId="0" applyNumberFormat="1" applyFont="1" applyBorder="1" applyAlignment="1">
      <alignment horizontal="center" vertical="center"/>
    </xf>
    <xf numFmtId="2" fontId="1" fillId="0" borderId="18" xfId="0" applyNumberFormat="1" applyFont="1" applyBorder="1" applyAlignment="1">
      <alignment horizontal="center" vertical="center"/>
    </xf>
    <xf numFmtId="2" fontId="1" fillId="0" borderId="12" xfId="0" applyNumberFormat="1" applyFont="1" applyBorder="1" applyAlignment="1">
      <alignment horizontal="center" vertical="center"/>
    </xf>
    <xf numFmtId="2" fontId="1" fillId="0" borderId="0" xfId="0" applyNumberFormat="1" applyFont="1" applyBorder="1" applyAlignment="1">
      <alignment horizontal="center" vertical="center"/>
    </xf>
    <xf numFmtId="2" fontId="1" fillId="0" borderId="20" xfId="0" applyNumberFormat="1" applyFont="1" applyBorder="1" applyAlignment="1">
      <alignment horizontal="center" vertical="center"/>
    </xf>
    <xf numFmtId="2" fontId="1" fillId="0" borderId="14" xfId="0" applyNumberFormat="1" applyFont="1" applyBorder="1" applyAlignment="1">
      <alignment horizontal="center" vertical="center"/>
    </xf>
    <xf numFmtId="2" fontId="18" fillId="3" borderId="22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 applyAlignment="1">
      <alignment horizontal="center" vertical="center"/>
    </xf>
    <xf numFmtId="2" fontId="1" fillId="0" borderId="19" xfId="0" applyNumberFormat="1" applyFont="1" applyBorder="1" applyAlignment="1">
      <alignment horizontal="center" vertical="center"/>
    </xf>
    <xf numFmtId="2" fontId="1" fillId="0" borderId="13" xfId="0" applyNumberFormat="1" applyFont="1" applyBorder="1" applyAlignment="1">
      <alignment horizontal="center" vertical="center"/>
    </xf>
    <xf numFmtId="2" fontId="1" fillId="0" borderId="9" xfId="0" applyNumberFormat="1" applyFont="1" applyBorder="1" applyAlignment="1">
      <alignment horizontal="center" vertical="center"/>
    </xf>
    <xf numFmtId="165" fontId="1" fillId="0" borderId="9" xfId="0" applyNumberFormat="1" applyFont="1" applyBorder="1" applyAlignment="1">
      <alignment horizontal="center" vertical="center"/>
    </xf>
    <xf numFmtId="2" fontId="1" fillId="0" borderId="3" xfId="0" applyNumberFormat="1" applyFont="1" applyBorder="1" applyAlignment="1">
      <alignment horizontal="center" vertical="center"/>
    </xf>
    <xf numFmtId="2" fontId="1" fillId="0" borderId="10" xfId="0" applyNumberFormat="1" applyFont="1" applyBorder="1" applyAlignment="1">
      <alignment horizontal="center" vertical="center"/>
    </xf>
    <xf numFmtId="2" fontId="1" fillId="0" borderId="6" xfId="0" applyNumberFormat="1" applyFont="1" applyBorder="1" applyAlignment="1">
      <alignment horizontal="center" vertical="center"/>
    </xf>
    <xf numFmtId="0" fontId="1" fillId="0" borderId="39" xfId="0" applyFont="1" applyBorder="1" applyAlignment="1">
      <alignment horizontal="center" vertical="center"/>
    </xf>
    <xf numFmtId="0" fontId="1" fillId="0" borderId="40" xfId="0" applyFont="1" applyBorder="1" applyAlignment="1">
      <alignment horizontal="center" vertical="center"/>
    </xf>
    <xf numFmtId="0" fontId="1" fillId="0" borderId="37" xfId="0" applyFont="1" applyBorder="1" applyAlignment="1">
      <alignment horizontal="center" vertical="center"/>
    </xf>
    <xf numFmtId="0" fontId="1" fillId="3" borderId="9" xfId="0" applyFont="1" applyFill="1" applyBorder="1" applyAlignment="1">
      <alignment horizontal="center" vertical="center"/>
    </xf>
    <xf numFmtId="2" fontId="1" fillId="3" borderId="9" xfId="0" applyNumberFormat="1" applyFont="1" applyFill="1" applyBorder="1" applyAlignment="1">
      <alignment horizontal="center" vertical="center"/>
    </xf>
    <xf numFmtId="0" fontId="1" fillId="3" borderId="12" xfId="0" applyFont="1" applyFill="1" applyBorder="1" applyAlignment="1">
      <alignment horizontal="center" vertical="center"/>
    </xf>
    <xf numFmtId="2" fontId="1" fillId="0" borderId="11" xfId="0" applyNumberFormat="1" applyFont="1" applyBorder="1" applyAlignment="1">
      <alignment horizontal="center" vertical="center"/>
    </xf>
    <xf numFmtId="0" fontId="1" fillId="0" borderId="11" xfId="0" applyFont="1" applyBorder="1" applyAlignment="1">
      <alignment horizontal="center" vertical="center"/>
    </xf>
    <xf numFmtId="2" fontId="1" fillId="3" borderId="11" xfId="0" applyNumberFormat="1" applyFont="1" applyFill="1" applyBorder="1" applyAlignment="1">
      <alignment horizontal="center" vertical="center"/>
    </xf>
    <xf numFmtId="0" fontId="1" fillId="3" borderId="11" xfId="0" applyFont="1" applyFill="1" applyBorder="1" applyAlignment="1">
      <alignment horizontal="center" vertical="center"/>
    </xf>
    <xf numFmtId="0" fontId="1" fillId="3" borderId="14" xfId="0" applyFont="1" applyFill="1" applyBorder="1" applyAlignment="1">
      <alignment horizontal="center" vertical="center"/>
    </xf>
    <xf numFmtId="2" fontId="1" fillId="3" borderId="10" xfId="0" applyNumberFormat="1" applyFont="1" applyFill="1" applyBorder="1" applyAlignment="1">
      <alignment horizontal="center" vertical="center"/>
    </xf>
    <xf numFmtId="0" fontId="1" fillId="3" borderId="10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" fillId="0" borderId="9" xfId="0" applyFont="1" applyBorder="1" applyAlignment="1">
      <alignment horizontal="center" vertical="center"/>
    </xf>
    <xf numFmtId="0" fontId="1" fillId="0" borderId="10" xfId="0" applyFont="1" applyBorder="1" applyAlignment="1">
      <alignment horizontal="center" vertical="center"/>
    </xf>
    <xf numFmtId="0" fontId="1" fillId="0" borderId="13" xfId="0" applyFont="1" applyBorder="1" applyAlignment="1">
      <alignment horizontal="center" vertical="center"/>
    </xf>
    <xf numFmtId="0" fontId="2" fillId="2" borderId="1" xfId="0" applyFont="1" applyFill="1" applyBorder="1" applyAlignment="1" applyProtection="1">
      <alignment horizontal="center"/>
      <protection locked="0"/>
    </xf>
    <xf numFmtId="0" fontId="2" fillId="2" borderId="9" xfId="0" applyFont="1" applyFill="1" applyBorder="1" applyAlignment="1" applyProtection="1">
      <alignment horizontal="center"/>
      <protection locked="0"/>
    </xf>
    <xf numFmtId="0" fontId="2" fillId="2" borderId="3" xfId="0" applyFont="1" applyFill="1" applyBorder="1" applyAlignment="1" applyProtection="1">
      <alignment horizontal="center"/>
      <protection locked="0"/>
    </xf>
    <xf numFmtId="0" fontId="15" fillId="0" borderId="0" xfId="0" applyFont="1" applyProtection="1">
      <protection locked="0"/>
    </xf>
    <xf numFmtId="0" fontId="0" fillId="0" borderId="0" xfId="0" applyProtection="1">
      <protection locked="0"/>
    </xf>
    <xf numFmtId="0" fontId="2" fillId="2" borderId="4" xfId="0" applyFont="1" applyFill="1" applyBorder="1" applyAlignment="1" applyProtection="1">
      <alignment horizontal="center"/>
      <protection locked="0"/>
    </xf>
    <xf numFmtId="0" fontId="2" fillId="2" borderId="10" xfId="0" applyFont="1" applyFill="1" applyBorder="1" applyAlignment="1" applyProtection="1">
      <alignment horizontal="center"/>
      <protection locked="0"/>
    </xf>
    <xf numFmtId="0" fontId="2" fillId="2" borderId="6" xfId="0" applyFont="1" applyFill="1" applyBorder="1" applyAlignment="1" applyProtection="1">
      <alignment horizontal="center"/>
      <protection locked="0"/>
    </xf>
    <xf numFmtId="0" fontId="0" fillId="2" borderId="1" xfId="0" applyFill="1" applyBorder="1" applyAlignment="1" applyProtection="1">
      <alignment horizontal="center"/>
      <protection locked="0"/>
    </xf>
    <xf numFmtId="2" fontId="0" fillId="2" borderId="9" xfId="0" applyNumberFormat="1" applyFill="1" applyBorder="1" applyAlignment="1" applyProtection="1">
      <alignment horizontal="center"/>
      <protection locked="0"/>
    </xf>
    <xf numFmtId="164" fontId="0" fillId="2" borderId="9" xfId="0" applyNumberFormat="1" applyFill="1" applyBorder="1" applyAlignment="1" applyProtection="1">
      <alignment horizontal="center"/>
      <protection locked="0"/>
    </xf>
    <xf numFmtId="1" fontId="0" fillId="2" borderId="3" xfId="0" applyNumberFormat="1" applyFill="1" applyBorder="1" applyAlignment="1" applyProtection="1">
      <alignment horizontal="center"/>
      <protection locked="0"/>
    </xf>
    <xf numFmtId="0" fontId="1" fillId="0" borderId="0" xfId="0" applyFont="1" applyAlignment="1" applyProtection="1">
      <alignment horizontal="right"/>
      <protection locked="0"/>
    </xf>
    <xf numFmtId="0" fontId="0" fillId="2" borderId="7" xfId="0" applyFill="1" applyBorder="1" applyAlignment="1" applyProtection="1">
      <alignment horizontal="center"/>
      <protection locked="0"/>
    </xf>
    <xf numFmtId="2" fontId="0" fillId="2" borderId="11" xfId="0" applyNumberFormat="1" applyFill="1" applyBorder="1" applyAlignment="1" applyProtection="1">
      <alignment horizontal="center"/>
      <protection locked="0"/>
    </xf>
    <xf numFmtId="164" fontId="0" fillId="2" borderId="11" xfId="0" applyNumberFormat="1" applyFill="1" applyBorder="1" applyAlignment="1" applyProtection="1">
      <alignment horizontal="center"/>
      <protection locked="0"/>
    </xf>
    <xf numFmtId="1" fontId="0" fillId="2" borderId="8" xfId="0" applyNumberFormat="1" applyFill="1" applyBorder="1" applyAlignment="1" applyProtection="1">
      <alignment horizontal="center"/>
      <protection locked="0"/>
    </xf>
    <xf numFmtId="0" fontId="0" fillId="2" borderId="0" xfId="0" applyFill="1" applyProtection="1">
      <protection locked="0"/>
    </xf>
    <xf numFmtId="0" fontId="0" fillId="0" borderId="0" xfId="0" applyNumberFormat="1" applyProtection="1">
      <protection locked="0"/>
    </xf>
    <xf numFmtId="0" fontId="0" fillId="2" borderId="4" xfId="0" applyFill="1" applyBorder="1" applyAlignment="1" applyProtection="1">
      <alignment horizontal="center"/>
      <protection locked="0"/>
    </xf>
    <xf numFmtId="2" fontId="0" fillId="2" borderId="10" xfId="0" applyNumberFormat="1" applyFill="1" applyBorder="1" applyAlignment="1" applyProtection="1">
      <alignment horizontal="center"/>
      <protection locked="0"/>
    </xf>
    <xf numFmtId="164" fontId="0" fillId="2" borderId="10" xfId="0" applyNumberFormat="1" applyFill="1" applyBorder="1" applyAlignment="1" applyProtection="1">
      <alignment horizontal="center"/>
      <protection locked="0"/>
    </xf>
    <xf numFmtId="1" fontId="0" fillId="2" borderId="6" xfId="0" applyNumberFormat="1" applyFill="1" applyBorder="1" applyAlignment="1" applyProtection="1">
      <alignment horizontal="center"/>
      <protection locked="0"/>
    </xf>
    <xf numFmtId="0" fontId="19" fillId="0" borderId="0" xfId="0" applyFont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right"/>
      <protection locked="0"/>
    </xf>
    <xf numFmtId="0" fontId="20" fillId="2" borderId="28" xfId="0" applyFont="1" applyFill="1" applyBorder="1" applyAlignment="1" applyProtection="1">
      <alignment horizontal="center"/>
      <protection locked="0"/>
    </xf>
    <xf numFmtId="0" fontId="2" fillId="0" borderId="15" xfId="0" applyFont="1" applyFill="1" applyBorder="1" applyAlignment="1" applyProtection="1">
      <alignment horizontal="center"/>
    </xf>
    <xf numFmtId="0" fontId="2" fillId="0" borderId="16" xfId="0" applyFont="1" applyFill="1" applyBorder="1" applyAlignment="1" applyProtection="1">
      <alignment horizontal="center"/>
    </xf>
    <xf numFmtId="0" fontId="0" fillId="0" borderId="17" xfId="0" applyBorder="1" applyAlignment="1" applyProtection="1">
      <alignment horizontal="center"/>
    </xf>
    <xf numFmtId="0" fontId="0" fillId="0" borderId="16" xfId="0" applyBorder="1" applyAlignment="1" applyProtection="1">
      <alignment horizontal="center"/>
    </xf>
    <xf numFmtId="2" fontId="0" fillId="0" borderId="0" xfId="0" applyNumberFormat="1" applyAlignment="1" applyProtection="1">
      <alignment horizontal="center"/>
    </xf>
    <xf numFmtId="0" fontId="0" fillId="0" borderId="0" xfId="0" applyAlignment="1" applyProtection="1">
      <alignment horizontal="center"/>
    </xf>
    <xf numFmtId="0" fontId="20" fillId="2" borderId="28" xfId="0" applyNumberFormat="1" applyFont="1" applyFill="1" applyBorder="1" applyAlignment="1" applyProtection="1">
      <alignment horizontal="center"/>
      <protection locked="0"/>
    </xf>
    <xf numFmtId="0" fontId="2" fillId="0" borderId="1" xfId="0" applyFont="1" applyBorder="1" applyAlignment="1" applyProtection="1">
      <alignment horizontal="center" vertical="center"/>
      <protection locked="0"/>
    </xf>
    <xf numFmtId="0" fontId="2" fillId="0" borderId="9" xfId="0" applyFont="1" applyBorder="1" applyAlignment="1" applyProtection="1">
      <alignment horizontal="center" vertical="center"/>
      <protection locked="0"/>
    </xf>
    <xf numFmtId="0" fontId="1" fillId="0" borderId="2" xfId="0" applyFont="1" applyBorder="1" applyAlignment="1" applyProtection="1">
      <alignment horizontal="center" vertical="center"/>
      <protection locked="0"/>
    </xf>
    <xf numFmtId="0" fontId="1" fillId="0" borderId="12" xfId="0" applyFont="1" applyBorder="1" applyAlignment="1" applyProtection="1">
      <alignment horizontal="center" vertical="center"/>
      <protection locked="0"/>
    </xf>
    <xf numFmtId="0" fontId="10" fillId="0" borderId="0" xfId="0" applyFont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2" fillId="0" borderId="4" xfId="0" applyFont="1" applyBorder="1" applyAlignment="1" applyProtection="1">
      <alignment horizontal="center" vertical="center"/>
      <protection locked="0"/>
    </xf>
    <xf numFmtId="0" fontId="1" fillId="0" borderId="10" xfId="0" applyFont="1" applyBorder="1" applyAlignment="1" applyProtection="1">
      <alignment horizontal="center" vertical="center"/>
      <protection locked="0"/>
    </xf>
    <xf numFmtId="0" fontId="1" fillId="0" borderId="5" xfId="0" applyFont="1" applyBorder="1" applyAlignment="1" applyProtection="1">
      <alignment horizontal="center" vertical="center"/>
      <protection locked="0"/>
    </xf>
    <xf numFmtId="0" fontId="1" fillId="0" borderId="13" xfId="0" applyFont="1" applyBorder="1" applyAlignment="1" applyProtection="1">
      <alignment horizontal="center" vertical="center"/>
      <protection locked="0"/>
    </xf>
    <xf numFmtId="0" fontId="0" fillId="0" borderId="0" xfId="0" applyBorder="1" applyAlignment="1" applyProtection="1">
      <alignment horizontal="center" vertical="center"/>
      <protection locked="0"/>
    </xf>
    <xf numFmtId="0" fontId="0" fillId="2" borderId="21" xfId="0" applyNumberFormat="1" applyFill="1" applyBorder="1" applyAlignment="1" applyProtection="1">
      <alignment horizontal="center" vertical="center"/>
      <protection locked="0"/>
    </xf>
    <xf numFmtId="2" fontId="0" fillId="0" borderId="0" xfId="0" applyNumberFormat="1" applyBorder="1" applyAlignment="1" applyProtection="1">
      <alignment horizontal="center" vertical="center"/>
      <protection locked="0"/>
    </xf>
    <xf numFmtId="0" fontId="1" fillId="0" borderId="0" xfId="0" applyFont="1" applyAlignment="1" applyProtection="1">
      <alignment horizontal="center" vertical="center"/>
      <protection locked="0"/>
    </xf>
    <xf numFmtId="0" fontId="0" fillId="0" borderId="0" xfId="0" applyFill="1" applyBorder="1" applyAlignment="1" applyProtection="1">
      <alignment horizontal="center" vertical="center"/>
      <protection locked="0"/>
    </xf>
    <xf numFmtId="0" fontId="1" fillId="0" borderId="0" xfId="0" applyFont="1" applyAlignment="1" applyProtection="1">
      <alignment horizontal="right" vertical="center"/>
      <protection locked="0"/>
    </xf>
    <xf numFmtId="2" fontId="1" fillId="0" borderId="0" xfId="0" applyNumberFormat="1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vertical="center"/>
      <protection locked="0"/>
    </xf>
    <xf numFmtId="0" fontId="1" fillId="0" borderId="0" xfId="0" applyNumberFormat="1" applyFont="1" applyFill="1" applyBorder="1" applyAlignment="1" applyProtection="1">
      <alignment horizontal="center" vertical="center"/>
      <protection locked="0"/>
    </xf>
    <xf numFmtId="0" fontId="15" fillId="0" borderId="0" xfId="0" applyFont="1" applyAlignment="1" applyProtection="1">
      <alignment vertical="center"/>
      <protection locked="0"/>
    </xf>
    <xf numFmtId="0" fontId="1" fillId="0" borderId="0" xfId="0" applyFont="1" applyBorder="1" applyAlignment="1" applyProtection="1">
      <alignment vertical="center"/>
      <protection locked="0"/>
    </xf>
    <xf numFmtId="0" fontId="0" fillId="0" borderId="0" xfId="0" applyAlignment="1" applyProtection="1">
      <alignment horizontal="right" vertical="center"/>
      <protection locked="0"/>
    </xf>
    <xf numFmtId="165" fontId="0" fillId="0" borderId="0" xfId="0" applyNumberFormat="1" applyAlignment="1" applyProtection="1">
      <alignment horizontal="left" vertical="center"/>
      <protection locked="0"/>
    </xf>
    <xf numFmtId="0" fontId="0" fillId="0" borderId="0" xfId="0" applyAlignment="1" applyProtection="1">
      <alignment horizontal="left" vertical="center"/>
      <protection locked="0"/>
    </xf>
    <xf numFmtId="0" fontId="1" fillId="0" borderId="29" xfId="0" applyFont="1" applyBorder="1" applyAlignment="1" applyProtection="1">
      <alignment horizontal="center" vertical="center"/>
      <protection locked="0"/>
    </xf>
    <xf numFmtId="0" fontId="1" fillId="0" borderId="30" xfId="0" applyFont="1" applyBorder="1" applyAlignment="1" applyProtection="1">
      <alignment horizontal="center" vertical="center"/>
      <protection locked="0"/>
    </xf>
    <xf numFmtId="0" fontId="10" fillId="0" borderId="0" xfId="0" applyFont="1" applyBorder="1" applyAlignment="1" applyProtection="1">
      <alignment horizontal="right" vertical="center"/>
      <protection locked="0"/>
    </xf>
    <xf numFmtId="165" fontId="0" fillId="0" borderId="0" xfId="0" applyNumberFormat="1" applyBorder="1" applyAlignment="1" applyProtection="1">
      <alignment horizontal="center" vertical="center"/>
      <protection locked="0"/>
    </xf>
    <xf numFmtId="0" fontId="5" fillId="0" borderId="0" xfId="0" applyFont="1" applyBorder="1" applyAlignment="1" applyProtection="1">
      <alignment vertical="center"/>
      <protection locked="0"/>
    </xf>
    <xf numFmtId="0" fontId="11" fillId="0" borderId="0" xfId="0" applyFont="1" applyAlignment="1" applyProtection="1">
      <alignment vertical="center"/>
      <protection locked="0"/>
    </xf>
    <xf numFmtId="0" fontId="1" fillId="0" borderId="23" xfId="0" applyFont="1" applyBorder="1" applyAlignment="1" applyProtection="1">
      <alignment horizontal="right" vertical="center"/>
      <protection locked="0"/>
    </xf>
    <xf numFmtId="0" fontId="0" fillId="0" borderId="0" xfId="0" applyAlignment="1" applyProtection="1">
      <alignment horizontal="left" vertical="center"/>
      <protection locked="0"/>
    </xf>
    <xf numFmtId="0" fontId="15" fillId="0" borderId="0" xfId="0" applyFont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</xf>
    <xf numFmtId="2" fontId="0" fillId="0" borderId="0" xfId="0" applyNumberFormat="1" applyBorder="1" applyAlignment="1" applyProtection="1">
      <alignment horizontal="center" vertical="center"/>
    </xf>
    <xf numFmtId="0" fontId="0" fillId="0" borderId="1" xfId="0" applyBorder="1" applyAlignment="1" applyProtection="1">
      <alignment horizontal="center" vertical="center"/>
    </xf>
    <xf numFmtId="2" fontId="0" fillId="0" borderId="9" xfId="0" applyNumberFormat="1" applyBorder="1" applyAlignment="1" applyProtection="1">
      <alignment horizontal="center" vertical="center"/>
    </xf>
    <xf numFmtId="2" fontId="0" fillId="0" borderId="2" xfId="0" applyNumberFormat="1" applyBorder="1" applyAlignment="1" applyProtection="1">
      <alignment horizontal="center" vertical="center"/>
    </xf>
    <xf numFmtId="2" fontId="0" fillId="0" borderId="12" xfId="0" applyNumberFormat="1" applyBorder="1" applyAlignment="1" applyProtection="1">
      <alignment horizontal="center" vertical="center"/>
    </xf>
    <xf numFmtId="0" fontId="0" fillId="0" borderId="0" xfId="0" applyNumberFormat="1" applyBorder="1" applyAlignment="1" applyProtection="1">
      <alignment horizontal="center" vertical="center"/>
    </xf>
    <xf numFmtId="0" fontId="0" fillId="0" borderId="7" xfId="0" applyBorder="1" applyAlignment="1" applyProtection="1">
      <alignment horizontal="center" vertical="center"/>
    </xf>
    <xf numFmtId="2" fontId="0" fillId="0" borderId="11" xfId="0" applyNumberFormat="1" applyBorder="1" applyAlignment="1" applyProtection="1">
      <alignment horizontal="center" vertical="center"/>
    </xf>
    <xf numFmtId="2" fontId="0" fillId="0" borderId="14" xfId="0" applyNumberFormat="1" applyBorder="1" applyAlignment="1" applyProtection="1">
      <alignment horizontal="center" vertical="center"/>
    </xf>
    <xf numFmtId="0" fontId="0" fillId="0" borderId="4" xfId="0" applyBorder="1" applyAlignment="1" applyProtection="1">
      <alignment horizontal="center" vertical="center"/>
    </xf>
    <xf numFmtId="2" fontId="0" fillId="0" borderId="10" xfId="0" applyNumberFormat="1" applyBorder="1" applyAlignment="1" applyProtection="1">
      <alignment horizontal="center" vertical="center"/>
    </xf>
    <xf numFmtId="2" fontId="0" fillId="0" borderId="5" xfId="0" applyNumberFormat="1" applyBorder="1" applyAlignment="1" applyProtection="1">
      <alignment horizontal="center" vertical="center"/>
    </xf>
    <xf numFmtId="2" fontId="0" fillId="0" borderId="13" xfId="0" applyNumberFormat="1" applyBorder="1" applyAlignment="1" applyProtection="1">
      <alignment horizontal="center" vertical="center"/>
    </xf>
    <xf numFmtId="0" fontId="0" fillId="0" borderId="0" xfId="0" applyNumberFormat="1" applyAlignment="1" applyProtection="1">
      <alignment horizontal="center" vertical="center"/>
    </xf>
    <xf numFmtId="166" fontId="0" fillId="0" borderId="0" xfId="0" applyNumberFormat="1" applyAlignment="1" applyProtection="1">
      <alignment horizontal="center" vertical="center"/>
    </xf>
    <xf numFmtId="2" fontId="0" fillId="0" borderId="32" xfId="0" applyNumberFormat="1" applyBorder="1" applyAlignment="1" applyProtection="1">
      <alignment horizontal="center" vertical="center"/>
    </xf>
    <xf numFmtId="2" fontId="0" fillId="0" borderId="34" xfId="0" applyNumberFormat="1" applyBorder="1" applyAlignment="1" applyProtection="1">
      <alignment horizontal="center" vertical="center"/>
    </xf>
    <xf numFmtId="2" fontId="1" fillId="0" borderId="24" xfId="0" applyNumberFormat="1" applyFont="1" applyBorder="1" applyAlignment="1" applyProtection="1">
      <alignment horizontal="left" vertical="center"/>
    </xf>
    <xf numFmtId="0" fontId="1" fillId="0" borderId="0" xfId="0" applyFont="1" applyAlignment="1" applyProtection="1">
      <alignment horizontal="left" vertical="center"/>
      <protection locked="0"/>
    </xf>
    <xf numFmtId="0" fontId="1" fillId="0" borderId="35" xfId="0" applyFont="1" applyBorder="1" applyAlignment="1" applyProtection="1">
      <alignment horizontal="center" vertical="center"/>
      <protection locked="0"/>
    </xf>
    <xf numFmtId="0" fontId="1" fillId="0" borderId="38" xfId="0" applyFont="1" applyBorder="1" applyAlignment="1" applyProtection="1">
      <alignment horizontal="center" vertical="center"/>
      <protection locked="0"/>
    </xf>
    <xf numFmtId="0" fontId="15" fillId="0" borderId="0" xfId="0" applyFont="1" applyBorder="1" applyAlignment="1" applyProtection="1">
      <alignment horizontal="center" vertical="center"/>
      <protection locked="0"/>
    </xf>
    <xf numFmtId="2" fontId="0" fillId="0" borderId="0" xfId="0" applyNumberFormat="1" applyAlignment="1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10" fillId="0" borderId="0" xfId="0" applyFont="1" applyAlignment="1" applyProtection="1">
      <alignment horizontal="center" vertical="center"/>
      <protection locked="0"/>
    </xf>
    <xf numFmtId="0" fontId="1" fillId="0" borderId="25" xfId="0" applyFont="1" applyBorder="1" applyAlignment="1" applyProtection="1">
      <alignment horizontal="right" vertical="center"/>
      <protection locked="0"/>
    </xf>
    <xf numFmtId="0" fontId="7" fillId="0" borderId="26" xfId="0" applyFont="1" applyBorder="1" applyAlignment="1" applyProtection="1">
      <alignment vertical="center"/>
      <protection locked="0"/>
    </xf>
    <xf numFmtId="0" fontId="1" fillId="0" borderId="0" xfId="0" applyFont="1" applyAlignment="1" applyProtection="1">
      <alignment vertical="center"/>
      <protection locked="0"/>
    </xf>
    <xf numFmtId="165" fontId="1" fillId="0" borderId="0" xfId="0" applyNumberFormat="1" applyFont="1" applyBorder="1" applyAlignment="1" applyProtection="1">
      <alignment horizontal="center" vertical="center"/>
      <protection locked="0"/>
    </xf>
    <xf numFmtId="0" fontId="19" fillId="0" borderId="0" xfId="0" applyFont="1" applyAlignment="1" applyProtection="1">
      <alignment horizontal="center" vertical="center"/>
      <protection locked="0"/>
    </xf>
    <xf numFmtId="2" fontId="1" fillId="0" borderId="27" xfId="0" applyNumberFormat="1" applyFont="1" applyBorder="1" applyAlignment="1" applyProtection="1">
      <alignment horizontal="center" vertical="center"/>
    </xf>
    <xf numFmtId="2" fontId="0" fillId="0" borderId="0" xfId="0" applyNumberFormat="1" applyAlignment="1" applyProtection="1">
      <alignment horizontal="center" vertical="center"/>
    </xf>
    <xf numFmtId="165" fontId="15" fillId="0" borderId="0" xfId="0" applyNumberFormat="1" applyFont="1" applyAlignment="1" applyProtection="1">
      <alignment vertical="center"/>
      <protection locked="0"/>
    </xf>
    <xf numFmtId="2" fontId="15" fillId="0" borderId="0" xfId="0" applyNumberFormat="1" applyFont="1" applyAlignment="1" applyProtection="1">
      <alignment vertical="center"/>
      <protection locked="0"/>
    </xf>
    <xf numFmtId="0" fontId="1" fillId="0" borderId="9" xfId="0" applyFont="1" applyBorder="1" applyAlignment="1" applyProtection="1">
      <alignment horizontal="center" vertical="center"/>
      <protection locked="0"/>
    </xf>
    <xf numFmtId="0" fontId="1" fillId="0" borderId="18" xfId="0" applyFont="1" applyBorder="1" applyAlignment="1" applyProtection="1">
      <alignment horizontal="center" vertical="center"/>
      <protection locked="0"/>
    </xf>
    <xf numFmtId="0" fontId="0" fillId="0" borderId="0" xfId="0" applyNumberFormat="1" applyAlignment="1" applyProtection="1">
      <alignment horizontal="center" vertical="center"/>
      <protection locked="0"/>
    </xf>
    <xf numFmtId="0" fontId="1" fillId="0" borderId="19" xfId="0" applyFont="1" applyBorder="1" applyAlignment="1" applyProtection="1">
      <alignment horizontal="center" vertical="center"/>
      <protection locked="0"/>
    </xf>
    <xf numFmtId="165" fontId="15" fillId="0" borderId="0" xfId="0" applyNumberFormat="1" applyFont="1" applyAlignment="1" applyProtection="1">
      <alignment horizontal="center" vertical="center"/>
      <protection locked="0"/>
    </xf>
    <xf numFmtId="165" fontId="0" fillId="0" borderId="0" xfId="0" applyNumberFormat="1" applyAlignment="1" applyProtection="1">
      <alignment horizontal="center" vertical="center"/>
      <protection locked="0"/>
    </xf>
    <xf numFmtId="0" fontId="15" fillId="0" borderId="0" xfId="0" applyNumberFormat="1" applyFont="1" applyAlignment="1" applyProtection="1">
      <alignment horizontal="center" vertical="center"/>
      <protection locked="0"/>
    </xf>
    <xf numFmtId="0" fontId="1" fillId="0" borderId="0" xfId="0" applyFont="1" applyBorder="1" applyAlignment="1" applyProtection="1">
      <alignment horizontal="center" vertical="center"/>
      <protection locked="0"/>
    </xf>
    <xf numFmtId="0" fontId="5" fillId="0" borderId="0" xfId="0" applyFont="1" applyAlignment="1" applyProtection="1">
      <alignment vertical="center"/>
      <protection locked="0"/>
    </xf>
    <xf numFmtId="0" fontId="19" fillId="0" borderId="0" xfId="0" applyFont="1" applyAlignment="1" applyProtection="1">
      <alignment vertical="center"/>
      <protection locked="0"/>
    </xf>
    <xf numFmtId="0" fontId="0" fillId="0" borderId="9" xfId="0" applyNumberFormat="1" applyBorder="1" applyAlignment="1" applyProtection="1">
      <alignment horizontal="center" vertical="center"/>
    </xf>
    <xf numFmtId="0" fontId="0" fillId="0" borderId="20" xfId="0" applyNumberFormat="1" applyBorder="1" applyAlignment="1" applyProtection="1">
      <alignment horizontal="center" vertical="center"/>
    </xf>
    <xf numFmtId="0" fontId="0" fillId="0" borderId="11" xfId="0" applyNumberFormat="1" applyBorder="1" applyAlignment="1" applyProtection="1">
      <alignment horizontal="center" vertical="center"/>
    </xf>
    <xf numFmtId="2" fontId="0" fillId="0" borderId="20" xfId="0" applyNumberFormat="1" applyBorder="1" applyAlignment="1" applyProtection="1">
      <alignment horizontal="center" vertical="center"/>
    </xf>
    <xf numFmtId="2" fontId="0" fillId="0" borderId="19" xfId="0" applyNumberFormat="1" applyBorder="1" applyAlignment="1" applyProtection="1">
      <alignment horizontal="center" vertical="center"/>
    </xf>
    <xf numFmtId="0" fontId="1" fillId="0" borderId="9" xfId="0" applyFont="1" applyBorder="1" applyAlignment="1">
      <alignment horizontal="center" vertical="center"/>
    </xf>
    <xf numFmtId="0" fontId="1" fillId="0" borderId="10" xfId="0" applyFont="1" applyBorder="1" applyAlignment="1">
      <alignment horizontal="center" vertical="center"/>
    </xf>
    <xf numFmtId="0" fontId="1" fillId="0" borderId="12" xfId="0" applyFont="1" applyBorder="1" applyAlignment="1">
      <alignment horizontal="center" vertical="center"/>
    </xf>
    <xf numFmtId="0" fontId="1" fillId="0" borderId="13" xfId="0" applyFont="1" applyBorder="1" applyAlignment="1">
      <alignment horizontal="center" vertical="center"/>
    </xf>
    <xf numFmtId="2" fontId="1" fillId="2" borderId="0" xfId="0" applyNumberFormat="1" applyFont="1" applyFill="1" applyBorder="1" applyAlignment="1" applyProtection="1">
      <alignment horizontal="center" vertical="center"/>
      <protection locked="0"/>
    </xf>
    <xf numFmtId="0" fontId="0" fillId="2" borderId="31" xfId="0" applyFill="1" applyBorder="1" applyAlignment="1" applyProtection="1">
      <alignment horizontal="center" vertical="center"/>
      <protection locked="0"/>
    </xf>
    <xf numFmtId="0" fontId="0" fillId="2" borderId="33" xfId="0" applyFill="1" applyBorder="1" applyAlignment="1" applyProtection="1">
      <alignment horizontal="center" vertical="center"/>
      <protection locked="0"/>
    </xf>
    <xf numFmtId="0" fontId="1" fillId="2" borderId="0" xfId="0" applyNumberFormat="1" applyFont="1" applyFill="1" applyBorder="1" applyAlignment="1" applyProtection="1">
      <alignment horizontal="center" vertical="center"/>
      <protection locked="0"/>
    </xf>
    <xf numFmtId="2" fontId="1" fillId="2" borderId="24" xfId="0" applyNumberFormat="1" applyFont="1" applyFill="1" applyBorder="1" applyAlignment="1" applyProtection="1">
      <alignment horizontal="left" vertical="center"/>
    </xf>
    <xf numFmtId="2" fontId="0" fillId="0" borderId="41" xfId="0" applyNumberFormat="1" applyBorder="1" applyAlignment="1">
      <alignment horizontal="center" vertical="center"/>
    </xf>
    <xf numFmtId="2" fontId="0" fillId="0" borderId="42" xfId="0" applyNumberFormat="1" applyBorder="1" applyAlignment="1">
      <alignment horizontal="center" vertical="center"/>
    </xf>
    <xf numFmtId="0" fontId="0" fillId="0" borderId="37" xfId="0" applyBorder="1" applyAlignment="1">
      <alignment horizontal="center" vertical="center"/>
    </xf>
    <xf numFmtId="0" fontId="0" fillId="0" borderId="40" xfId="0" applyBorder="1" applyAlignment="1">
      <alignment horizontal="center" vertical="center"/>
    </xf>
    <xf numFmtId="2" fontId="0" fillId="0" borderId="0" xfId="0" applyNumberFormat="1" applyBorder="1" applyAlignment="1">
      <alignment horizontal="center" vertical="center"/>
    </xf>
    <xf numFmtId="2" fontId="0" fillId="0" borderId="20" xfId="0" applyNumberFormat="1" applyBorder="1" applyAlignment="1">
      <alignment horizontal="center" vertical="center"/>
    </xf>
    <xf numFmtId="2" fontId="0" fillId="0" borderId="5" xfId="0" applyNumberFormat="1" applyBorder="1" applyAlignment="1">
      <alignment horizontal="center" vertical="center"/>
    </xf>
    <xf numFmtId="2" fontId="0" fillId="0" borderId="19" xfId="0" applyNumberFormat="1" applyBorder="1" applyAlignment="1">
      <alignment horizontal="center" vertical="center"/>
    </xf>
    <xf numFmtId="2" fontId="20" fillId="0" borderId="11" xfId="0" applyNumberFormat="1" applyFont="1" applyBorder="1" applyAlignment="1">
      <alignment horizontal="center" vertical="center"/>
    </xf>
    <xf numFmtId="2" fontId="20" fillId="0" borderId="14" xfId="0" applyNumberFormat="1" applyFont="1" applyBorder="1" applyAlignment="1">
      <alignment horizontal="center" vertical="center"/>
    </xf>
    <xf numFmtId="2" fontId="20" fillId="0" borderId="10" xfId="0" applyNumberFormat="1" applyFont="1" applyBorder="1" applyAlignment="1">
      <alignment horizontal="center" vertical="center"/>
    </xf>
    <xf numFmtId="2" fontId="20" fillId="0" borderId="13" xfId="0" applyNumberFormat="1" applyFont="1" applyBorder="1" applyAlignment="1">
      <alignment horizontal="center" vertical="center"/>
    </xf>
    <xf numFmtId="0" fontId="0" fillId="0" borderId="7" xfId="0" applyBorder="1" applyAlignment="1" applyProtection="1">
      <alignment horizontal="left" vertical="center"/>
      <protection locked="0"/>
    </xf>
    <xf numFmtId="0" fontId="0" fillId="0" borderId="0" xfId="0" applyAlignment="1" applyProtection="1">
      <alignment horizontal="left" vertical="center"/>
      <protection locked="0"/>
    </xf>
    <xf numFmtId="0" fontId="1" fillId="0" borderId="23" xfId="0" applyFont="1" applyBorder="1" applyAlignment="1" applyProtection="1">
      <alignment horizontal="center" vertical="center"/>
      <protection locked="0"/>
    </xf>
    <xf numFmtId="0" fontId="1" fillId="0" borderId="24" xfId="0" applyFont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13" fillId="0" borderId="9" xfId="0" applyFont="1" applyBorder="1" applyAlignment="1" applyProtection="1">
      <alignment horizontal="center" vertical="center"/>
      <protection locked="0"/>
    </xf>
    <xf numFmtId="0" fontId="13" fillId="0" borderId="10" xfId="0" applyFont="1" applyBorder="1" applyAlignment="1" applyProtection="1">
      <alignment horizontal="center" vertical="center"/>
      <protection locked="0"/>
    </xf>
    <xf numFmtId="0" fontId="1" fillId="0" borderId="9" xfId="0" applyFont="1" applyBorder="1" applyAlignment="1">
      <alignment horizontal="center" vertical="center"/>
    </xf>
    <xf numFmtId="0" fontId="1" fillId="0" borderId="10" xfId="0" applyFont="1" applyBorder="1" applyAlignment="1">
      <alignment horizontal="center" vertical="center"/>
    </xf>
    <xf numFmtId="0" fontId="1" fillId="0" borderId="12" xfId="0" applyFont="1" applyBorder="1" applyAlignment="1">
      <alignment horizontal="center" vertical="center"/>
    </xf>
    <xf numFmtId="0" fontId="1" fillId="0" borderId="13" xfId="0" applyFont="1" applyBorder="1" applyAlignment="1">
      <alignment horizontal="center" vertical="center"/>
    </xf>
    <xf numFmtId="0" fontId="24" fillId="0" borderId="23" xfId="0" applyFont="1" applyBorder="1" applyAlignment="1">
      <alignment horizontal="center" vertical="center"/>
    </xf>
    <xf numFmtId="0" fontId="24" fillId="0" borderId="36" xfId="0" applyFont="1" applyBorder="1" applyAlignment="1">
      <alignment horizontal="center" vertical="center"/>
    </xf>
    <xf numFmtId="0" fontId="24" fillId="0" borderId="24" xfId="0" applyFont="1" applyBorder="1" applyAlignment="1">
      <alignment horizontal="center" vertical="center"/>
    </xf>
    <xf numFmtId="0" fontId="23" fillId="0" borderId="23" xfId="0" applyFont="1" applyBorder="1" applyAlignment="1">
      <alignment horizontal="center" vertical="center"/>
    </xf>
    <xf numFmtId="0" fontId="23" fillId="0" borderId="36" xfId="0" applyFont="1" applyBorder="1" applyAlignment="1">
      <alignment horizontal="center" vertical="center"/>
    </xf>
    <xf numFmtId="0" fontId="23" fillId="0" borderId="24" xfId="0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2" xfId="0" applyFont="1" applyBorder="1" applyAlignment="1">
      <alignment horizontal="center" vertical="center"/>
    </xf>
  </cellXfs>
  <cellStyles count="1">
    <cellStyle name="Normal" xfId="0" builtinId="0"/>
  </cellStyles>
  <dxfs count="15">
    <dxf>
      <font>
        <b/>
        <i val="0"/>
        <color rgb="FF006100"/>
      </font>
      <fill>
        <patternFill>
          <bgColor rgb="FFC6EFCE"/>
        </patternFill>
      </fill>
      <border>
        <left style="thin">
          <color rgb="FF006100"/>
        </left>
        <right style="thin">
          <color rgb="FF006100"/>
        </right>
        <top style="thin">
          <color rgb="FF006100"/>
        </top>
        <bottom style="thin">
          <color rgb="FF006100"/>
        </bottom>
      </border>
    </dxf>
    <dxf>
      <font>
        <b/>
        <i val="0"/>
        <color rgb="FFC00000"/>
      </font>
      <fill>
        <patternFill>
          <bgColor rgb="FFFFC7CE"/>
        </patternFill>
      </fill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  <vertical/>
        <horizontal/>
      </border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b/>
        <i val="0"/>
        <color rgb="FF00B050"/>
      </font>
    </dxf>
  </dxfs>
  <tableStyles count="0" defaultTableStyle="TableStyleMedium2" defaultPivotStyle="PivotStyleLight16"/>
  <colors>
    <mruColors>
      <color rgb="FF006100"/>
      <color rgb="FFC6EFCE"/>
      <color rgb="FFFFC7C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chartsheet" Target="chartsheets/sheet1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9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1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Symmetric Hyperbolic Tangent</a:t>
            </a:r>
          </a:p>
        </c:rich>
      </c:tx>
      <c:layout>
        <c:manualLayout>
          <c:xMode val="edge"/>
          <c:yMode val="edge"/>
          <c:x val="0.34435477042997098"/>
          <c:y val="1.473839351510685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9.8991372176292738E-2"/>
          <c:y val="9.4867951850846247E-2"/>
          <c:w val="0.86819995575475017"/>
          <c:h val="0.78195148882251786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HT!$A$3:$A$32</c:f>
              <c:numCache>
                <c:formatCode>General</c:formatCode>
                <c:ptCount val="30"/>
                <c:pt idx="0">
                  <c:v>-80</c:v>
                </c:pt>
                <c:pt idx="1">
                  <c:v>-50</c:v>
                </c:pt>
                <c:pt idx="2">
                  <c:v>-35</c:v>
                </c:pt>
                <c:pt idx="3">
                  <c:v>-15</c:v>
                </c:pt>
                <c:pt idx="4">
                  <c:v>0</c:v>
                </c:pt>
                <c:pt idx="5">
                  <c:v>10</c:v>
                </c:pt>
                <c:pt idx="6">
                  <c:v>21</c:v>
                </c:pt>
                <c:pt idx="7">
                  <c:v>40</c:v>
                </c:pt>
                <c:pt idx="8">
                  <c:v>76</c:v>
                </c:pt>
                <c:pt idx="9">
                  <c:v>100</c:v>
                </c:pt>
                <c:pt idx="10">
                  <c:v>148</c:v>
                </c:pt>
                <c:pt idx="11">
                  <c:v>198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HT!$B$3:$B$32</c:f>
              <c:numCache>
                <c:formatCode>0.00</c:formatCode>
                <c:ptCount val="30"/>
                <c:pt idx="0">
                  <c:v>2.4</c:v>
                </c:pt>
                <c:pt idx="1">
                  <c:v>4.13</c:v>
                </c:pt>
                <c:pt idx="2">
                  <c:v>4.13</c:v>
                </c:pt>
                <c:pt idx="3">
                  <c:v>10.210000000000001</c:v>
                </c:pt>
                <c:pt idx="4">
                  <c:v>27.99</c:v>
                </c:pt>
                <c:pt idx="5">
                  <c:v>34.25</c:v>
                </c:pt>
                <c:pt idx="6">
                  <c:v>48.86</c:v>
                </c:pt>
                <c:pt idx="7">
                  <c:v>61.88</c:v>
                </c:pt>
                <c:pt idx="8">
                  <c:v>74.290000000000006</c:v>
                </c:pt>
                <c:pt idx="9">
                  <c:v>75.22</c:v>
                </c:pt>
                <c:pt idx="10">
                  <c:v>71.5</c:v>
                </c:pt>
                <c:pt idx="11">
                  <c:v>69.400000000000006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511-4256-9DB6-FE105246D392}"/>
            </c:ext>
          </c:extLst>
        </c:ser>
        <c:ser>
          <c:idx val="1"/>
          <c:order val="1"/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HT!$T$2:$T$100</c:f>
              <c:numCache>
                <c:formatCode>General</c:formatCode>
                <c:ptCount val="99"/>
                <c:pt idx="0">
                  <c:v>-100</c:v>
                </c:pt>
                <c:pt idx="1">
                  <c:v>-90</c:v>
                </c:pt>
                <c:pt idx="2">
                  <c:v>-80</c:v>
                </c:pt>
                <c:pt idx="3">
                  <c:v>-70</c:v>
                </c:pt>
                <c:pt idx="4">
                  <c:v>-60</c:v>
                </c:pt>
                <c:pt idx="5">
                  <c:v>-50</c:v>
                </c:pt>
                <c:pt idx="6">
                  <c:v>-40</c:v>
                </c:pt>
                <c:pt idx="7">
                  <c:v>-30</c:v>
                </c:pt>
                <c:pt idx="8">
                  <c:v>-20</c:v>
                </c:pt>
                <c:pt idx="9">
                  <c:v>-10</c:v>
                </c:pt>
                <c:pt idx="10">
                  <c:v>0</c:v>
                </c:pt>
                <c:pt idx="11">
                  <c:v>10</c:v>
                </c:pt>
                <c:pt idx="12">
                  <c:v>20</c:v>
                </c:pt>
                <c:pt idx="13">
                  <c:v>30</c:v>
                </c:pt>
                <c:pt idx="14">
                  <c:v>40</c:v>
                </c:pt>
                <c:pt idx="15">
                  <c:v>50</c:v>
                </c:pt>
                <c:pt idx="16">
                  <c:v>60</c:v>
                </c:pt>
                <c:pt idx="17">
                  <c:v>70</c:v>
                </c:pt>
                <c:pt idx="18">
                  <c:v>80</c:v>
                </c:pt>
                <c:pt idx="19">
                  <c:v>90</c:v>
                </c:pt>
                <c:pt idx="20">
                  <c:v>100</c:v>
                </c:pt>
                <c:pt idx="21">
                  <c:v>110</c:v>
                </c:pt>
                <c:pt idx="22">
                  <c:v>120</c:v>
                </c:pt>
                <c:pt idx="23">
                  <c:v>130</c:v>
                </c:pt>
                <c:pt idx="24">
                  <c:v>140</c:v>
                </c:pt>
                <c:pt idx="25">
                  <c:v>150</c:v>
                </c:pt>
                <c:pt idx="26">
                  <c:v>160</c:v>
                </c:pt>
                <c:pt idx="27">
                  <c:v>170</c:v>
                </c:pt>
                <c:pt idx="28">
                  <c:v>180</c:v>
                </c:pt>
                <c:pt idx="29">
                  <c:v>190</c:v>
                </c:pt>
                <c:pt idx="30">
                  <c:v>200</c:v>
                </c:pt>
                <c:pt idx="31">
                  <c:v>210</c:v>
                </c:pt>
                <c:pt idx="32">
                  <c:v>220</c:v>
                </c:pt>
                <c:pt idx="33">
                  <c:v>230</c:v>
                </c:pt>
                <c:pt idx="34">
                  <c:v>240</c:v>
                </c:pt>
                <c:pt idx="35">
                  <c:v>250</c:v>
                </c:pt>
                <c:pt idx="36">
                  <c:v>260</c:v>
                </c:pt>
                <c:pt idx="37">
                  <c:v>270</c:v>
                </c:pt>
                <c:pt idx="38">
                  <c:v>280</c:v>
                </c:pt>
                <c:pt idx="39">
                  <c:v>290</c:v>
                </c:pt>
                <c:pt idx="40">
                  <c:v>300</c:v>
                </c:pt>
                <c:pt idx="41">
                  <c:v>310</c:v>
                </c:pt>
                <c:pt idx="42">
                  <c:v>320</c:v>
                </c:pt>
                <c:pt idx="43">
                  <c:v>330</c:v>
                </c:pt>
                <c:pt idx="44">
                  <c:v>340</c:v>
                </c:pt>
                <c:pt idx="45">
                  <c:v>350</c:v>
                </c:pt>
                <c:pt idx="46">
                  <c:v>360</c:v>
                </c:pt>
                <c:pt idx="47">
                  <c:v>370</c:v>
                </c:pt>
                <c:pt idx="48">
                  <c:v>380</c:v>
                </c:pt>
                <c:pt idx="49">
                  <c:v>390</c:v>
                </c:pt>
                <c:pt idx="50">
                  <c:v>400</c:v>
                </c:pt>
              </c:numCache>
            </c:numRef>
          </c:xVal>
          <c:yVal>
            <c:numRef>
              <c:f>HT!$U$2:$U$100</c:f>
              <c:numCache>
                <c:formatCode>0.00</c:formatCode>
                <c:ptCount val="99"/>
                <c:pt idx="0">
                  <c:v>2.0438700946325312</c:v>
                </c:pt>
                <c:pt idx="1">
                  <c:v>2.0851279040338753</c:v>
                </c:pt>
                <c:pt idx="2">
                  <c:v>2.165096000177769</c:v>
                </c:pt>
                <c:pt idx="3">
                  <c:v>2.3198444078267642</c:v>
                </c:pt>
                <c:pt idx="4">
                  <c:v>2.6183687926036114</c:v>
                </c:pt>
                <c:pt idx="5">
                  <c:v>3.1907979306856973</c:v>
                </c:pt>
                <c:pt idx="6">
                  <c:v>4.275896961138308</c:v>
                </c:pt>
                <c:pt idx="7">
                  <c:v>6.2886851838442972</c:v>
                </c:pt>
                <c:pt idx="8">
                  <c:v>9.8763688530092715</c:v>
                </c:pt>
                <c:pt idx="9">
                  <c:v>15.838984372016579</c:v>
                </c:pt>
                <c:pt idx="10">
                  <c:v>24.68314561057587</c:v>
                </c:pt>
                <c:pt idx="11">
                  <c:v>35.812589937272627</c:v>
                </c:pt>
                <c:pt idx="12">
                  <c:v>47.246606756427802</c:v>
                </c:pt>
                <c:pt idx="13">
                  <c:v>56.788975095547784</c:v>
                </c:pt>
                <c:pt idx="14">
                  <c:v>63.465391654649224</c:v>
                </c:pt>
                <c:pt idx="15">
                  <c:v>67.581372667688669</c:v>
                </c:pt>
                <c:pt idx="16">
                  <c:v>69.924029988055423</c:v>
                </c:pt>
                <c:pt idx="17">
                  <c:v>71.197119350089181</c:v>
                </c:pt>
                <c:pt idx="18">
                  <c:v>71.871614503804636</c:v>
                </c:pt>
                <c:pt idx="19">
                  <c:v>72.224163925418338</c:v>
                </c:pt>
                <c:pt idx="20">
                  <c:v>72.407133341109017</c:v>
                </c:pt>
                <c:pt idx="21">
                  <c:v>72.501742762725712</c:v>
                </c:pt>
                <c:pt idx="22">
                  <c:v>72.550569855012114</c:v>
                </c:pt>
                <c:pt idx="23">
                  <c:v>72.575744252623494</c:v>
                </c:pt>
                <c:pt idx="24">
                  <c:v>72.588717134432585</c:v>
                </c:pt>
                <c:pt idx="25">
                  <c:v>72.595400573801598</c:v>
                </c:pt>
                <c:pt idx="26">
                  <c:v>72.598843319307448</c:v>
                </c:pt>
                <c:pt idx="27">
                  <c:v>72.600616608708265</c:v>
                </c:pt>
                <c:pt idx="28">
                  <c:v>72.60152996191097</c:v>
                </c:pt>
                <c:pt idx="29">
                  <c:v>72.602000386353666</c:v>
                </c:pt>
                <c:pt idx="30">
                  <c:v>72.602242677125929</c:v>
                </c:pt>
                <c:pt idx="31">
                  <c:v>72.602367467688651</c:v>
                </c:pt>
                <c:pt idx="32">
                  <c:v>72.602431740236625</c:v>
                </c:pt>
                <c:pt idx="33">
                  <c:v>72.602464843341281</c:v>
                </c:pt>
                <c:pt idx="34">
                  <c:v>72.602481892841254</c:v>
                </c:pt>
                <c:pt idx="35">
                  <c:v>72.602490674052319</c:v>
                </c:pt>
                <c:pt idx="36">
                  <c:v>72.602495196745338</c:v>
                </c:pt>
                <c:pt idx="37">
                  <c:v>72.602497526122221</c:v>
                </c:pt>
                <c:pt idx="38">
                  <c:v>72.602498725849117</c:v>
                </c:pt>
                <c:pt idx="39">
                  <c:v>72.602499343758822</c:v>
                </c:pt>
                <c:pt idx="40">
                  <c:v>72.602499662008256</c:v>
                </c:pt>
                <c:pt idx="41">
                  <c:v>72.602499825920063</c:v>
                </c:pt>
                <c:pt idx="42">
                  <c:v>72.602499910341521</c:v>
                </c:pt>
                <c:pt idx="43">
                  <c:v>72.602499953822118</c:v>
                </c:pt>
                <c:pt idx="44">
                  <c:v>72.60249997621645</c:v>
                </c:pt>
                <c:pt idx="45">
                  <c:v>72.602499987750477</c:v>
                </c:pt>
                <c:pt idx="46">
                  <c:v>72.602499993690969</c:v>
                </c:pt>
                <c:pt idx="47">
                  <c:v>72.602499996750581</c:v>
                </c:pt>
                <c:pt idx="48">
                  <c:v>72.602499998326408</c:v>
                </c:pt>
                <c:pt idx="49">
                  <c:v>72.602499999138018</c:v>
                </c:pt>
                <c:pt idx="50">
                  <c:v>72.602499999556045</c:v>
                </c:pt>
                <c:pt idx="55" formatCode="General">
                  <c:v>-1.6448536269514726</c:v>
                </c:pt>
                <c:pt idx="56" formatCode="General">
                  <c:v>1.6448536269514715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511-4256-9DB6-FE105246D392}"/>
            </c:ext>
          </c:extLst>
        </c:ser>
        <c:ser>
          <c:idx val="2"/>
          <c:order val="2"/>
          <c:spPr>
            <a:ln w="19050" cap="rnd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HT!$E$37:$E$38</c:f>
              <c:numCache>
                <c:formatCode>General</c:formatCode>
                <c:ptCount val="2"/>
                <c:pt idx="0">
                  <c:v>11.27188439101162</c:v>
                </c:pt>
                <c:pt idx="1">
                  <c:v>11.27188439101162</c:v>
                </c:pt>
              </c:numCache>
            </c:numRef>
          </c:xVal>
          <c:yVal>
            <c:numRef>
              <c:f>HT!$F$37:$F$38</c:f>
              <c:numCache>
                <c:formatCode>General</c:formatCode>
                <c:ptCount val="2"/>
                <c:pt idx="0">
                  <c:v>0</c:v>
                </c:pt>
                <c:pt idx="1">
                  <c:v>37.301249999999996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D6F-4F07-B0CC-28E9625EF9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02140760"/>
        <c:axId val="1102143056"/>
      </c:scatterChart>
      <c:valAx>
        <c:axId val="1102140760"/>
        <c:scaling>
          <c:orientation val="minMax"/>
          <c:max val="200"/>
          <c:min val="-10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6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600" b="1"/>
                  <a:t>Temperature (</a:t>
                </a:r>
                <a:r>
                  <a:rPr lang="en-US" sz="1600" b="1">
                    <a:sym typeface="Symbol" panose="05050102010706020507" pitchFamily="18" charset="2"/>
                  </a:rPr>
                  <a:t>C)</a:t>
                </a:r>
                <a:endParaRPr lang="en-US" sz="1600" b="1"/>
              </a:p>
            </c:rich>
          </c:tx>
          <c:layout>
            <c:manualLayout>
              <c:xMode val="edge"/>
              <c:yMode val="edge"/>
              <c:x val="0.42947525679997589"/>
              <c:y val="0.9425693932694669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6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in"/>
        <c:minorTickMark val="in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2143056"/>
        <c:crosses val="autoZero"/>
        <c:crossBetween val="midCat"/>
      </c:valAx>
      <c:valAx>
        <c:axId val="1102143056"/>
        <c:scaling>
          <c:orientation val="minMax"/>
          <c:min val="0"/>
        </c:scaling>
        <c:delete val="0"/>
        <c:axPos val="l"/>
        <c:title>
          <c:tx>
            <c:strRef>
              <c:f>'Input data'!$M$1</c:f>
              <c:strCache>
                <c:ptCount val="1"/>
                <c:pt idx="0">
                  <c:v>KV (J)</c:v>
                </c:pt>
              </c:strCache>
            </c:strRef>
          </c:tx>
          <c:layout>
            <c:manualLayout>
              <c:xMode val="edge"/>
              <c:yMode val="edge"/>
              <c:x val="1.1707238468240378E-3"/>
              <c:y val="0.4269306125466710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6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0"/>
        <c:majorTickMark val="in"/>
        <c:minorTickMark val="in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2140760"/>
        <c:crossesAt val="-200"/>
        <c:crossBetween val="midCat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Asymmetric Hyperbolic Tangent</a:t>
            </a:r>
          </a:p>
        </c:rich>
      </c:tx>
      <c:layout>
        <c:manualLayout>
          <c:xMode val="edge"/>
          <c:yMode val="edge"/>
          <c:x val="0.34435477042997098"/>
          <c:y val="1.473839351510685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9.8991372176292738E-2"/>
          <c:y val="0.10636226661792553"/>
          <c:w val="0.86819995575475017"/>
          <c:h val="0.77045725769172013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AHT!$A$3:$A$32</c:f>
              <c:numCache>
                <c:formatCode>General</c:formatCode>
                <c:ptCount val="30"/>
                <c:pt idx="0">
                  <c:v>-80</c:v>
                </c:pt>
                <c:pt idx="1">
                  <c:v>-50</c:v>
                </c:pt>
                <c:pt idx="2">
                  <c:v>-35</c:v>
                </c:pt>
                <c:pt idx="3">
                  <c:v>-15</c:v>
                </c:pt>
                <c:pt idx="4">
                  <c:v>0</c:v>
                </c:pt>
                <c:pt idx="5">
                  <c:v>10</c:v>
                </c:pt>
                <c:pt idx="6">
                  <c:v>21</c:v>
                </c:pt>
                <c:pt idx="7">
                  <c:v>40</c:v>
                </c:pt>
                <c:pt idx="8">
                  <c:v>76</c:v>
                </c:pt>
                <c:pt idx="9">
                  <c:v>100</c:v>
                </c:pt>
                <c:pt idx="10">
                  <c:v>148</c:v>
                </c:pt>
                <c:pt idx="11">
                  <c:v>198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AHT!$B$3:$B$32</c:f>
              <c:numCache>
                <c:formatCode>0.00</c:formatCode>
                <c:ptCount val="30"/>
                <c:pt idx="0">
                  <c:v>2.4</c:v>
                </c:pt>
                <c:pt idx="1">
                  <c:v>4.13</c:v>
                </c:pt>
                <c:pt idx="2">
                  <c:v>4.13</c:v>
                </c:pt>
                <c:pt idx="3">
                  <c:v>10.210000000000001</c:v>
                </c:pt>
                <c:pt idx="4">
                  <c:v>27.99</c:v>
                </c:pt>
                <c:pt idx="5">
                  <c:v>34.25</c:v>
                </c:pt>
                <c:pt idx="6">
                  <c:v>48.86</c:v>
                </c:pt>
                <c:pt idx="7">
                  <c:v>61.88</c:v>
                </c:pt>
                <c:pt idx="8">
                  <c:v>74.290000000000006</c:v>
                </c:pt>
                <c:pt idx="9">
                  <c:v>75.22</c:v>
                </c:pt>
                <c:pt idx="10">
                  <c:v>71.5</c:v>
                </c:pt>
                <c:pt idx="11">
                  <c:v>69.400000000000006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934-4214-8357-59D3CF77A7D3}"/>
            </c:ext>
          </c:extLst>
        </c:ser>
        <c:ser>
          <c:idx val="1"/>
          <c:order val="1"/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AHT!$T$2:$T$100</c:f>
              <c:numCache>
                <c:formatCode>General</c:formatCode>
                <c:ptCount val="99"/>
                <c:pt idx="0">
                  <c:v>-200</c:v>
                </c:pt>
                <c:pt idx="1">
                  <c:v>-190</c:v>
                </c:pt>
                <c:pt idx="2">
                  <c:v>-180</c:v>
                </c:pt>
                <c:pt idx="3">
                  <c:v>-170</c:v>
                </c:pt>
                <c:pt idx="4">
                  <c:v>-160</c:v>
                </c:pt>
                <c:pt idx="5">
                  <c:v>-150</c:v>
                </c:pt>
                <c:pt idx="6">
                  <c:v>-140</c:v>
                </c:pt>
                <c:pt idx="7">
                  <c:v>-130</c:v>
                </c:pt>
                <c:pt idx="8">
                  <c:v>-120</c:v>
                </c:pt>
                <c:pt idx="9">
                  <c:v>-110</c:v>
                </c:pt>
                <c:pt idx="10">
                  <c:v>-100</c:v>
                </c:pt>
                <c:pt idx="11">
                  <c:v>-90</c:v>
                </c:pt>
                <c:pt idx="12">
                  <c:v>-80</c:v>
                </c:pt>
                <c:pt idx="13">
                  <c:v>-70</c:v>
                </c:pt>
                <c:pt idx="14">
                  <c:v>-60</c:v>
                </c:pt>
                <c:pt idx="15">
                  <c:v>-50</c:v>
                </c:pt>
                <c:pt idx="16">
                  <c:v>-40</c:v>
                </c:pt>
                <c:pt idx="17">
                  <c:v>-30</c:v>
                </c:pt>
                <c:pt idx="18">
                  <c:v>-20</c:v>
                </c:pt>
                <c:pt idx="19">
                  <c:v>-10</c:v>
                </c:pt>
                <c:pt idx="20">
                  <c:v>0</c:v>
                </c:pt>
                <c:pt idx="21">
                  <c:v>10</c:v>
                </c:pt>
                <c:pt idx="22">
                  <c:v>20</c:v>
                </c:pt>
                <c:pt idx="23">
                  <c:v>30</c:v>
                </c:pt>
                <c:pt idx="24">
                  <c:v>40</c:v>
                </c:pt>
                <c:pt idx="25">
                  <c:v>50</c:v>
                </c:pt>
                <c:pt idx="26">
                  <c:v>60</c:v>
                </c:pt>
                <c:pt idx="27">
                  <c:v>70</c:v>
                </c:pt>
                <c:pt idx="28">
                  <c:v>80</c:v>
                </c:pt>
                <c:pt idx="29">
                  <c:v>90</c:v>
                </c:pt>
                <c:pt idx="30">
                  <c:v>100</c:v>
                </c:pt>
                <c:pt idx="31">
                  <c:v>110</c:v>
                </c:pt>
                <c:pt idx="32">
                  <c:v>120</c:v>
                </c:pt>
                <c:pt idx="33">
                  <c:v>130</c:v>
                </c:pt>
                <c:pt idx="34">
                  <c:v>140</c:v>
                </c:pt>
                <c:pt idx="35">
                  <c:v>150</c:v>
                </c:pt>
                <c:pt idx="36">
                  <c:v>160</c:v>
                </c:pt>
                <c:pt idx="37">
                  <c:v>170</c:v>
                </c:pt>
                <c:pt idx="38">
                  <c:v>180</c:v>
                </c:pt>
                <c:pt idx="39">
                  <c:v>190</c:v>
                </c:pt>
                <c:pt idx="40">
                  <c:v>200</c:v>
                </c:pt>
                <c:pt idx="41">
                  <c:v>210</c:v>
                </c:pt>
                <c:pt idx="42">
                  <c:v>220</c:v>
                </c:pt>
                <c:pt idx="43">
                  <c:v>230</c:v>
                </c:pt>
                <c:pt idx="44">
                  <c:v>240</c:v>
                </c:pt>
                <c:pt idx="45">
                  <c:v>250</c:v>
                </c:pt>
                <c:pt idx="46">
                  <c:v>260</c:v>
                </c:pt>
                <c:pt idx="47">
                  <c:v>270</c:v>
                </c:pt>
                <c:pt idx="48">
                  <c:v>280</c:v>
                </c:pt>
                <c:pt idx="49">
                  <c:v>290</c:v>
                </c:pt>
                <c:pt idx="50">
                  <c:v>300</c:v>
                </c:pt>
              </c:numCache>
            </c:numRef>
          </c:xVal>
          <c:yVal>
            <c:numRef>
              <c:f>AHT!$U$2:$U$100</c:f>
              <c:numCache>
                <c:formatCode>0.00</c:formatCode>
                <c:ptCount val="99"/>
                <c:pt idx="0">
                  <c:v>72.60126046554096</c:v>
                </c:pt>
                <c:pt idx="1">
                  <c:v>72.601676386233436</c:v>
                </c:pt>
                <c:pt idx="2">
                  <c:v>72.601995709854606</c:v>
                </c:pt>
                <c:pt idx="3">
                  <c:v>72.602223118813058</c:v>
                </c:pt>
                <c:pt idx="4">
                  <c:v>72.60236913943109</c:v>
                </c:pt>
                <c:pt idx="5">
                  <c:v>72.602450073871807</c:v>
                </c:pt>
                <c:pt idx="6">
                  <c:v>72.60248618493651</c:v>
                </c:pt>
                <c:pt idx="7">
                  <c:v>72.602497713413527</c:v>
                </c:pt>
                <c:pt idx="8">
                  <c:v>72.602499846028749</c:v>
                </c:pt>
                <c:pt idx="9">
                  <c:v>72.602499998283946</c:v>
                </c:pt>
                <c:pt idx="10">
                  <c:v>72.602499999999779</c:v>
                </c:pt>
                <c:pt idx="11">
                  <c:v>72.602499999999992</c:v>
                </c:pt>
                <c:pt idx="12">
                  <c:v>2</c:v>
                </c:pt>
                <c:pt idx="13">
                  <c:v>2</c:v>
                </c:pt>
                <c:pt idx="14">
                  <c:v>2.0000000858980371</c:v>
                </c:pt>
                <c:pt idx="15">
                  <c:v>2.0006915196138664</c:v>
                </c:pt>
                <c:pt idx="16">
                  <c:v>2.0619926412911909</c:v>
                </c:pt>
                <c:pt idx="17">
                  <c:v>2.9095739774045128</c:v>
                </c:pt>
                <c:pt idx="18">
                  <c:v>7.1602720405347355</c:v>
                </c:pt>
                <c:pt idx="19">
                  <c:v>17.65737159853283</c:v>
                </c:pt>
                <c:pt idx="20">
                  <c:v>32.186961419216807</c:v>
                </c:pt>
                <c:pt idx="21">
                  <c:v>45.241027369706366</c:v>
                </c:pt>
                <c:pt idx="22">
                  <c:v>54.398279593211178</c:v>
                </c:pt>
                <c:pt idx="23">
                  <c:v>60.2182633525263</c:v>
                </c:pt>
                <c:pt idx="24">
                  <c:v>63.859175953898848</c:v>
                </c:pt>
                <c:pt idx="25">
                  <c:v>66.183441123188032</c:v>
                </c:pt>
                <c:pt idx="26">
                  <c:v>67.716439007892788</c:v>
                </c:pt>
                <c:pt idx="27">
                  <c:v>68.763409620278651</c:v>
                </c:pt>
                <c:pt idx="28">
                  <c:v>69.502484047225138</c:v>
                </c:pt>
                <c:pt idx="29">
                  <c:v>70.040075772498682</c:v>
                </c:pt>
                <c:pt idx="30">
                  <c:v>70.441663183917228</c:v>
                </c:pt>
                <c:pt idx="31">
                  <c:v>70.748784116889482</c:v>
                </c:pt>
                <c:pt idx="32">
                  <c:v>70.988571242160077</c:v>
                </c:pt>
                <c:pt idx="33">
                  <c:v>71.179236034886429</c:v>
                </c:pt>
                <c:pt idx="34">
                  <c:v>71.333310089278484</c:v>
                </c:pt>
                <c:pt idx="35">
                  <c:v>71.459614040540359</c:v>
                </c:pt>
                <c:pt idx="36">
                  <c:v>71.564485368087105</c:v>
                </c:pt>
                <c:pt idx="37">
                  <c:v>71.652563141160044</c:v>
                </c:pt>
                <c:pt idx="38">
                  <c:v>71.727301202653436</c:v>
                </c:pt>
                <c:pt idx="39">
                  <c:v>71.791310945518191</c:v>
                </c:pt>
                <c:pt idx="40">
                  <c:v>71.846594782581519</c:v>
                </c:pt>
                <c:pt idx="41">
                  <c:v>71.894708055894952</c:v>
                </c:pt>
                <c:pt idx="42">
                  <c:v>71.936873200780241</c:v>
                </c:pt>
                <c:pt idx="43">
                  <c:v>71.974061489189836</c:v>
                </c:pt>
                <c:pt idx="44">
                  <c:v>72.007052396305582</c:v>
                </c:pt>
                <c:pt idx="45">
                  <c:v>72.036477286958515</c:v>
                </c:pt>
                <c:pt idx="46">
                  <c:v>72.062851958526736</c:v>
                </c:pt>
                <c:pt idx="47">
                  <c:v>72.08660115982957</c:v>
                </c:pt>
                <c:pt idx="48">
                  <c:v>72.108077261126681</c:v>
                </c:pt>
                <c:pt idx="49">
                  <c:v>72.127574611695167</c:v>
                </c:pt>
                <c:pt idx="50">
                  <c:v>72.145340683639162</c:v>
                </c:pt>
                <c:pt idx="55" formatCode="General">
                  <c:v>-1.6448536269514726</c:v>
                </c:pt>
                <c:pt idx="56" formatCode="General">
                  <c:v>1.6448536269514715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934-4214-8357-59D3CF77A7D3}"/>
            </c:ext>
          </c:extLst>
        </c:ser>
        <c:ser>
          <c:idx val="3"/>
          <c:order val="2"/>
          <c:spPr>
            <a:ln w="19050" cap="rnd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AHT!$E$37:$E$38</c:f>
              <c:numCache>
                <c:formatCode>General</c:formatCode>
                <c:ptCount val="2"/>
                <c:pt idx="0">
                  <c:v>3.6174162784169184</c:v>
                </c:pt>
                <c:pt idx="1">
                  <c:v>3.6174162784169184</c:v>
                </c:pt>
              </c:numCache>
            </c:numRef>
          </c:xVal>
          <c:yVal>
            <c:numRef>
              <c:f>AHT!$F$37:$F$38</c:f>
              <c:numCache>
                <c:formatCode>General</c:formatCode>
                <c:ptCount val="2"/>
                <c:pt idx="0">
                  <c:v>0</c:v>
                </c:pt>
                <c:pt idx="1">
                  <c:v>37.301249999999996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3C6-4B18-B011-B6E878C30A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02140760"/>
        <c:axId val="1102143056"/>
      </c:scatterChart>
      <c:valAx>
        <c:axId val="1102140760"/>
        <c:scaling>
          <c:orientation val="minMax"/>
          <c:max val="200"/>
          <c:min val="-10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6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600" b="1"/>
                  <a:t>Temperature (</a:t>
                </a:r>
                <a:r>
                  <a:rPr lang="en-US" sz="1600" b="1">
                    <a:sym typeface="Symbol" panose="05050102010706020507" pitchFamily="18" charset="2"/>
                  </a:rPr>
                  <a:t>C)</a:t>
                </a:r>
                <a:endParaRPr lang="en-US" sz="1600" b="1"/>
              </a:p>
            </c:rich>
          </c:tx>
          <c:layout>
            <c:manualLayout>
              <c:xMode val="edge"/>
              <c:yMode val="edge"/>
              <c:x val="0.42947525679997589"/>
              <c:y val="0.9425693932694669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6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in"/>
        <c:minorTickMark val="in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2143056"/>
        <c:crosses val="autoZero"/>
        <c:crossBetween val="midCat"/>
      </c:valAx>
      <c:valAx>
        <c:axId val="1102143056"/>
        <c:scaling>
          <c:orientation val="minMax"/>
          <c:max val="80"/>
          <c:min val="0"/>
        </c:scaling>
        <c:delete val="0"/>
        <c:axPos val="l"/>
        <c:title>
          <c:tx>
            <c:strRef>
              <c:f>'Input data'!$M$1</c:f>
              <c:strCache>
                <c:ptCount val="1"/>
                <c:pt idx="0">
                  <c:v>KV (J)</c:v>
                </c:pt>
              </c:strCache>
            </c:strRef>
          </c:tx>
          <c:layout>
            <c:manualLayout>
              <c:xMode val="edge"/>
              <c:yMode val="edge"/>
              <c:x val="1.1707238468240376E-3"/>
              <c:y val="0.4386677807499559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6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0"/>
        <c:majorTickMark val="in"/>
        <c:minorTickMark val="in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2140760"/>
        <c:crossesAt val="-200"/>
        <c:crossBetween val="midCat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Burr distribution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9.8991372176292738E-2"/>
          <c:y val="0.10636226661792553"/>
          <c:w val="0.86819995575475017"/>
          <c:h val="0.77045725769172013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BUR!$A$3:$A$32</c:f>
              <c:numCache>
                <c:formatCode>General</c:formatCode>
                <c:ptCount val="30"/>
                <c:pt idx="0">
                  <c:v>-80</c:v>
                </c:pt>
                <c:pt idx="1">
                  <c:v>-50</c:v>
                </c:pt>
                <c:pt idx="2">
                  <c:v>-35</c:v>
                </c:pt>
                <c:pt idx="3">
                  <c:v>-15</c:v>
                </c:pt>
                <c:pt idx="4">
                  <c:v>0</c:v>
                </c:pt>
                <c:pt idx="5">
                  <c:v>10</c:v>
                </c:pt>
                <c:pt idx="6">
                  <c:v>21</c:v>
                </c:pt>
                <c:pt idx="7">
                  <c:v>40</c:v>
                </c:pt>
                <c:pt idx="8">
                  <c:v>76</c:v>
                </c:pt>
                <c:pt idx="9">
                  <c:v>100</c:v>
                </c:pt>
                <c:pt idx="10">
                  <c:v>148</c:v>
                </c:pt>
                <c:pt idx="11">
                  <c:v>198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BUR!$B$3:$B$32</c:f>
              <c:numCache>
                <c:formatCode>0.00</c:formatCode>
                <c:ptCount val="30"/>
                <c:pt idx="0">
                  <c:v>2.4</c:v>
                </c:pt>
                <c:pt idx="1">
                  <c:v>4.13</c:v>
                </c:pt>
                <c:pt idx="2">
                  <c:v>4.13</c:v>
                </c:pt>
                <c:pt idx="3">
                  <c:v>10.210000000000001</c:v>
                </c:pt>
                <c:pt idx="4">
                  <c:v>27.99</c:v>
                </c:pt>
                <c:pt idx="5">
                  <c:v>34.25</c:v>
                </c:pt>
                <c:pt idx="6">
                  <c:v>48.86</c:v>
                </c:pt>
                <c:pt idx="7">
                  <c:v>61.88</c:v>
                </c:pt>
                <c:pt idx="8">
                  <c:v>74.290000000000006</c:v>
                </c:pt>
                <c:pt idx="9">
                  <c:v>75.22</c:v>
                </c:pt>
                <c:pt idx="10">
                  <c:v>71.5</c:v>
                </c:pt>
                <c:pt idx="11">
                  <c:v>69.400000000000006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E16-469A-B736-E1BE6D33A77A}"/>
            </c:ext>
          </c:extLst>
        </c:ser>
        <c:ser>
          <c:idx val="1"/>
          <c:order val="1"/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BUR!$U$2:$U$100</c:f>
              <c:numCache>
                <c:formatCode>General</c:formatCode>
                <c:ptCount val="99"/>
                <c:pt idx="0">
                  <c:v>-100</c:v>
                </c:pt>
                <c:pt idx="1">
                  <c:v>-90</c:v>
                </c:pt>
                <c:pt idx="2">
                  <c:v>-80</c:v>
                </c:pt>
                <c:pt idx="3">
                  <c:v>-70</c:v>
                </c:pt>
                <c:pt idx="4">
                  <c:v>-60</c:v>
                </c:pt>
                <c:pt idx="5">
                  <c:v>-50</c:v>
                </c:pt>
                <c:pt idx="6">
                  <c:v>-40</c:v>
                </c:pt>
                <c:pt idx="7">
                  <c:v>-30</c:v>
                </c:pt>
                <c:pt idx="8">
                  <c:v>-20</c:v>
                </c:pt>
                <c:pt idx="9">
                  <c:v>-10</c:v>
                </c:pt>
                <c:pt idx="10">
                  <c:v>0</c:v>
                </c:pt>
                <c:pt idx="11">
                  <c:v>10</c:v>
                </c:pt>
                <c:pt idx="12">
                  <c:v>20</c:v>
                </c:pt>
                <c:pt idx="13">
                  <c:v>30</c:v>
                </c:pt>
                <c:pt idx="14">
                  <c:v>40</c:v>
                </c:pt>
                <c:pt idx="15">
                  <c:v>50</c:v>
                </c:pt>
                <c:pt idx="16">
                  <c:v>60</c:v>
                </c:pt>
                <c:pt idx="17">
                  <c:v>70</c:v>
                </c:pt>
                <c:pt idx="18">
                  <c:v>80</c:v>
                </c:pt>
                <c:pt idx="19">
                  <c:v>90</c:v>
                </c:pt>
                <c:pt idx="20">
                  <c:v>100</c:v>
                </c:pt>
                <c:pt idx="21">
                  <c:v>110</c:v>
                </c:pt>
                <c:pt idx="22">
                  <c:v>120</c:v>
                </c:pt>
                <c:pt idx="23">
                  <c:v>130</c:v>
                </c:pt>
                <c:pt idx="24">
                  <c:v>140</c:v>
                </c:pt>
                <c:pt idx="25">
                  <c:v>150</c:v>
                </c:pt>
                <c:pt idx="26">
                  <c:v>160</c:v>
                </c:pt>
                <c:pt idx="27">
                  <c:v>170</c:v>
                </c:pt>
                <c:pt idx="28">
                  <c:v>180</c:v>
                </c:pt>
                <c:pt idx="29">
                  <c:v>190</c:v>
                </c:pt>
                <c:pt idx="30">
                  <c:v>200</c:v>
                </c:pt>
                <c:pt idx="31">
                  <c:v>210</c:v>
                </c:pt>
                <c:pt idx="32">
                  <c:v>220</c:v>
                </c:pt>
                <c:pt idx="33">
                  <c:v>230</c:v>
                </c:pt>
                <c:pt idx="34">
                  <c:v>240</c:v>
                </c:pt>
                <c:pt idx="35">
                  <c:v>250</c:v>
                </c:pt>
                <c:pt idx="36">
                  <c:v>260</c:v>
                </c:pt>
                <c:pt idx="37">
                  <c:v>270</c:v>
                </c:pt>
                <c:pt idx="38">
                  <c:v>280</c:v>
                </c:pt>
                <c:pt idx="39">
                  <c:v>290</c:v>
                </c:pt>
                <c:pt idx="40">
                  <c:v>300</c:v>
                </c:pt>
                <c:pt idx="41">
                  <c:v>310</c:v>
                </c:pt>
                <c:pt idx="42">
                  <c:v>320</c:v>
                </c:pt>
                <c:pt idx="43">
                  <c:v>330</c:v>
                </c:pt>
                <c:pt idx="44">
                  <c:v>340</c:v>
                </c:pt>
                <c:pt idx="45">
                  <c:v>350</c:v>
                </c:pt>
                <c:pt idx="46">
                  <c:v>360</c:v>
                </c:pt>
                <c:pt idx="47">
                  <c:v>370</c:v>
                </c:pt>
                <c:pt idx="48">
                  <c:v>380</c:v>
                </c:pt>
                <c:pt idx="49">
                  <c:v>390</c:v>
                </c:pt>
                <c:pt idx="50">
                  <c:v>400</c:v>
                </c:pt>
              </c:numCache>
            </c:numRef>
          </c:xVal>
          <c:yVal>
            <c:numRef>
              <c:f>BUR!$W$2:$W$100</c:f>
              <c:numCache>
                <c:formatCode>0.00</c:formatCode>
                <c:ptCount val="99"/>
                <c:pt idx="0">
                  <c:v>2.0058225445408375</c:v>
                </c:pt>
                <c:pt idx="1">
                  <c:v>2.0148466643078482</c:v>
                </c:pt>
                <c:pt idx="2">
                  <c:v>2.0377448195241379</c:v>
                </c:pt>
                <c:pt idx="3">
                  <c:v>2.0954560611504673</c:v>
                </c:pt>
                <c:pt idx="4">
                  <c:v>2.2391842458478894</c:v>
                </c:pt>
                <c:pt idx="5">
                  <c:v>2.5897632937835322</c:v>
                </c:pt>
                <c:pt idx="6">
                  <c:v>3.4149359597180853</c:v>
                </c:pt>
                <c:pt idx="7">
                  <c:v>5.2454750520474622</c:v>
                </c:pt>
                <c:pt idx="8">
                  <c:v>8.9434003655064025</c:v>
                </c:pt>
                <c:pt idx="9">
                  <c:v>15.456185575624573</c:v>
                </c:pt>
                <c:pt idx="10">
                  <c:v>25.028264254552816</c:v>
                </c:pt>
                <c:pt idx="11">
                  <c:v>36.441729797583697</c:v>
                </c:pt>
                <c:pt idx="12">
                  <c:v>47.488107448993567</c:v>
                </c:pt>
                <c:pt idx="13">
                  <c:v>56.420952833878857</c:v>
                </c:pt>
                <c:pt idx="14">
                  <c:v>62.727641067953741</c:v>
                </c:pt>
                <c:pt idx="15">
                  <c:v>66.787137092378174</c:v>
                </c:pt>
                <c:pt idx="16">
                  <c:v>69.251940119700663</c:v>
                </c:pt>
                <c:pt idx="17">
                  <c:v>70.696848378475835</c:v>
                </c:pt>
                <c:pt idx="18">
                  <c:v>71.526702211099916</c:v>
                </c:pt>
                <c:pt idx="19">
                  <c:v>71.997751934745295</c:v>
                </c:pt>
                <c:pt idx="20">
                  <c:v>72.263361243212628</c:v>
                </c:pt>
                <c:pt idx="21">
                  <c:v>72.41256931338539</c:v>
                </c:pt>
                <c:pt idx="22">
                  <c:v>72.496211901467277</c:v>
                </c:pt>
                <c:pt idx="23">
                  <c:v>72.543044735414284</c:v>
                </c:pt>
                <c:pt idx="24">
                  <c:v>72.569249887194118</c:v>
                </c:pt>
                <c:pt idx="25">
                  <c:v>72.583907474530278</c:v>
                </c:pt>
                <c:pt idx="26">
                  <c:v>72.592104354406956</c:v>
                </c:pt>
                <c:pt idx="27">
                  <c:v>72.596687719703567</c:v>
                </c:pt>
                <c:pt idx="28">
                  <c:v>72.599250387527732</c:v>
                </c:pt>
                <c:pt idx="29">
                  <c:v>72.600683183897857</c:v>
                </c:pt>
                <c:pt idx="30">
                  <c:v>72.60148424908445</c:v>
                </c:pt>
                <c:pt idx="31">
                  <c:v>72.601932113275709</c:v>
                </c:pt>
                <c:pt idx="32">
                  <c:v>72.602182506216209</c:v>
                </c:pt>
                <c:pt idx="33">
                  <c:v>72.602322495982264</c:v>
                </c:pt>
                <c:pt idx="34">
                  <c:v>72.602400761351475</c:v>
                </c:pt>
                <c:pt idx="35">
                  <c:v>72.602444517844773</c:v>
                </c:pt>
                <c:pt idx="36">
                  <c:v>72.60246898114886</c:v>
                </c:pt>
                <c:pt idx="37">
                  <c:v>72.60248265804556</c:v>
                </c:pt>
                <c:pt idx="38">
                  <c:v>72.602490304497053</c:v>
                </c:pt>
                <c:pt idx="39">
                  <c:v>72.602494579459062</c:v>
                </c:pt>
                <c:pt idx="40">
                  <c:v>72.602496969495704</c:v>
                </c:pt>
                <c:pt idx="41">
                  <c:v>72.602498305712231</c:v>
                </c:pt>
                <c:pt idx="42">
                  <c:v>72.602499052761274</c:v>
                </c:pt>
                <c:pt idx="43">
                  <c:v>72.602499470419829</c:v>
                </c:pt>
                <c:pt idx="44">
                  <c:v>72.602499703923471</c:v>
                </c:pt>
                <c:pt idx="45">
                  <c:v>72.60249983447018</c:v>
                </c:pt>
                <c:pt idx="46">
                  <c:v>72.602499907455936</c:v>
                </c:pt>
                <c:pt idx="47">
                  <c:v>72.602499948260672</c:v>
                </c:pt>
                <c:pt idx="48">
                  <c:v>72.602499971073669</c:v>
                </c:pt>
                <c:pt idx="49">
                  <c:v>72.60249998382794</c:v>
                </c:pt>
                <c:pt idx="50">
                  <c:v>72.602499990958535</c:v>
                </c:pt>
                <c:pt idx="55" formatCode="General">
                  <c:v>-1.6448536269514726</c:v>
                </c:pt>
                <c:pt idx="56" formatCode="General">
                  <c:v>1.6448536269514715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E16-469A-B736-E1BE6D33A77A}"/>
            </c:ext>
          </c:extLst>
        </c:ser>
        <c:ser>
          <c:idx val="3"/>
          <c:order val="2"/>
          <c:spPr>
            <a:ln w="19050" cap="rnd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BUR!$H$35:$H$36</c:f>
              <c:numCache>
                <c:formatCode>General</c:formatCode>
                <c:ptCount val="2"/>
                <c:pt idx="0">
                  <c:v>10.741610522571808</c:v>
                </c:pt>
                <c:pt idx="1">
                  <c:v>10.741610522571808</c:v>
                </c:pt>
              </c:numCache>
            </c:numRef>
          </c:xVal>
          <c:yVal>
            <c:numRef>
              <c:f>BUR!$I$35:$I$36</c:f>
              <c:numCache>
                <c:formatCode>General</c:formatCode>
                <c:ptCount val="2"/>
                <c:pt idx="0">
                  <c:v>0</c:v>
                </c:pt>
                <c:pt idx="1">
                  <c:v>37.301249999999996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E16-469A-B736-E1BE6D33A7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02140760"/>
        <c:axId val="1102143056"/>
      </c:scatterChart>
      <c:valAx>
        <c:axId val="1102140760"/>
        <c:scaling>
          <c:orientation val="minMax"/>
          <c:max val="200"/>
          <c:min val="-10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6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600" b="1"/>
                  <a:t>Temperature (</a:t>
                </a:r>
                <a:r>
                  <a:rPr lang="en-US" sz="1600" b="1">
                    <a:sym typeface="Symbol" panose="05050102010706020507" pitchFamily="18" charset="2"/>
                  </a:rPr>
                  <a:t>C)</a:t>
                </a:r>
                <a:endParaRPr lang="en-US" sz="1600" b="1"/>
              </a:p>
            </c:rich>
          </c:tx>
          <c:layout>
            <c:manualLayout>
              <c:xMode val="edge"/>
              <c:yMode val="edge"/>
              <c:x val="0.42947525679997589"/>
              <c:y val="0.9425693932694669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6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in"/>
        <c:minorTickMark val="in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2143056"/>
        <c:crosses val="autoZero"/>
        <c:crossBetween val="midCat"/>
      </c:valAx>
      <c:valAx>
        <c:axId val="1102143056"/>
        <c:scaling>
          <c:orientation val="minMax"/>
          <c:min val="0"/>
        </c:scaling>
        <c:delete val="0"/>
        <c:axPos val="l"/>
        <c:title>
          <c:tx>
            <c:strRef>
              <c:f>'Input data'!$M$1</c:f>
              <c:strCache>
                <c:ptCount val="1"/>
                <c:pt idx="0">
                  <c:v>KV (J)</c:v>
                </c:pt>
              </c:strCache>
            </c:strRef>
          </c:tx>
          <c:layout>
            <c:manualLayout>
              <c:xMode val="edge"/>
              <c:yMode val="edge"/>
              <c:x val="1.1707238468240376E-3"/>
              <c:y val="0.4386677807499559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6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0"/>
        <c:majorTickMark val="in"/>
        <c:minorTickMark val="in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2140760"/>
        <c:crossesAt val="-200"/>
        <c:crossBetween val="midCat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Arctangent Model</a:t>
            </a:r>
          </a:p>
        </c:rich>
      </c:tx>
      <c:layout>
        <c:manualLayout>
          <c:xMode val="edge"/>
          <c:yMode val="edge"/>
          <c:x val="0.38077516585140697"/>
          <c:y val="1.473848512298794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9.8991372176292738E-2"/>
          <c:y val="8.9813853055602091E-2"/>
          <c:w val="0.86819995575475017"/>
          <c:h val="0.78700564025241526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ACT!$A$3:$A$32</c:f>
              <c:numCache>
                <c:formatCode>General</c:formatCode>
                <c:ptCount val="30"/>
                <c:pt idx="0">
                  <c:v>-80</c:v>
                </c:pt>
                <c:pt idx="1">
                  <c:v>-50</c:v>
                </c:pt>
                <c:pt idx="2">
                  <c:v>-35</c:v>
                </c:pt>
                <c:pt idx="3">
                  <c:v>-15</c:v>
                </c:pt>
                <c:pt idx="4">
                  <c:v>0</c:v>
                </c:pt>
                <c:pt idx="5">
                  <c:v>10</c:v>
                </c:pt>
                <c:pt idx="6">
                  <c:v>21</c:v>
                </c:pt>
                <c:pt idx="7">
                  <c:v>40</c:v>
                </c:pt>
                <c:pt idx="8">
                  <c:v>76</c:v>
                </c:pt>
                <c:pt idx="9">
                  <c:v>100</c:v>
                </c:pt>
                <c:pt idx="10">
                  <c:v>148</c:v>
                </c:pt>
                <c:pt idx="11">
                  <c:v>198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ACT!$B$3:$B$32</c:f>
              <c:numCache>
                <c:formatCode>0.00</c:formatCode>
                <c:ptCount val="30"/>
                <c:pt idx="0">
                  <c:v>2.4</c:v>
                </c:pt>
                <c:pt idx="1">
                  <c:v>4.13</c:v>
                </c:pt>
                <c:pt idx="2">
                  <c:v>4.13</c:v>
                </c:pt>
                <c:pt idx="3">
                  <c:v>10.210000000000001</c:v>
                </c:pt>
                <c:pt idx="4">
                  <c:v>27.99</c:v>
                </c:pt>
                <c:pt idx="5">
                  <c:v>34.25</c:v>
                </c:pt>
                <c:pt idx="6">
                  <c:v>48.86</c:v>
                </c:pt>
                <c:pt idx="7">
                  <c:v>61.88</c:v>
                </c:pt>
                <c:pt idx="8">
                  <c:v>74.290000000000006</c:v>
                </c:pt>
                <c:pt idx="9">
                  <c:v>75.22</c:v>
                </c:pt>
                <c:pt idx="10">
                  <c:v>71.5</c:v>
                </c:pt>
                <c:pt idx="11">
                  <c:v>69.400000000000006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A91-4073-8194-811842632A1F}"/>
            </c:ext>
          </c:extLst>
        </c:ser>
        <c:ser>
          <c:idx val="1"/>
          <c:order val="1"/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ACT!$T$2:$T$100</c:f>
              <c:numCache>
                <c:formatCode>General</c:formatCode>
                <c:ptCount val="99"/>
                <c:pt idx="0">
                  <c:v>-100</c:v>
                </c:pt>
                <c:pt idx="1">
                  <c:v>-90</c:v>
                </c:pt>
                <c:pt idx="2">
                  <c:v>-80</c:v>
                </c:pt>
                <c:pt idx="3">
                  <c:v>-70</c:v>
                </c:pt>
                <c:pt idx="4">
                  <c:v>-60</c:v>
                </c:pt>
                <c:pt idx="5">
                  <c:v>-50</c:v>
                </c:pt>
                <c:pt idx="6">
                  <c:v>-40</c:v>
                </c:pt>
                <c:pt idx="7">
                  <c:v>-30</c:v>
                </c:pt>
                <c:pt idx="8">
                  <c:v>-20</c:v>
                </c:pt>
                <c:pt idx="9">
                  <c:v>-10</c:v>
                </c:pt>
                <c:pt idx="10">
                  <c:v>0</c:v>
                </c:pt>
                <c:pt idx="11">
                  <c:v>10</c:v>
                </c:pt>
                <c:pt idx="12">
                  <c:v>20</c:v>
                </c:pt>
                <c:pt idx="13">
                  <c:v>30</c:v>
                </c:pt>
                <c:pt idx="14">
                  <c:v>40</c:v>
                </c:pt>
                <c:pt idx="15">
                  <c:v>50</c:v>
                </c:pt>
                <c:pt idx="16">
                  <c:v>60</c:v>
                </c:pt>
                <c:pt idx="17">
                  <c:v>70</c:v>
                </c:pt>
                <c:pt idx="18">
                  <c:v>80</c:v>
                </c:pt>
                <c:pt idx="19">
                  <c:v>90</c:v>
                </c:pt>
                <c:pt idx="20">
                  <c:v>100</c:v>
                </c:pt>
                <c:pt idx="21">
                  <c:v>110</c:v>
                </c:pt>
                <c:pt idx="22">
                  <c:v>120</c:v>
                </c:pt>
                <c:pt idx="23">
                  <c:v>130</c:v>
                </c:pt>
                <c:pt idx="24">
                  <c:v>140</c:v>
                </c:pt>
                <c:pt idx="25">
                  <c:v>150</c:v>
                </c:pt>
                <c:pt idx="26">
                  <c:v>160</c:v>
                </c:pt>
                <c:pt idx="27">
                  <c:v>170</c:v>
                </c:pt>
                <c:pt idx="28">
                  <c:v>180</c:v>
                </c:pt>
                <c:pt idx="29">
                  <c:v>190</c:v>
                </c:pt>
                <c:pt idx="30">
                  <c:v>200</c:v>
                </c:pt>
                <c:pt idx="31">
                  <c:v>210</c:v>
                </c:pt>
                <c:pt idx="32">
                  <c:v>220</c:v>
                </c:pt>
                <c:pt idx="33">
                  <c:v>230</c:v>
                </c:pt>
                <c:pt idx="34">
                  <c:v>240</c:v>
                </c:pt>
                <c:pt idx="35">
                  <c:v>250</c:v>
                </c:pt>
                <c:pt idx="36">
                  <c:v>260</c:v>
                </c:pt>
                <c:pt idx="37">
                  <c:v>270</c:v>
                </c:pt>
                <c:pt idx="38">
                  <c:v>280</c:v>
                </c:pt>
                <c:pt idx="39">
                  <c:v>290</c:v>
                </c:pt>
                <c:pt idx="40">
                  <c:v>300</c:v>
                </c:pt>
                <c:pt idx="41">
                  <c:v>310</c:v>
                </c:pt>
                <c:pt idx="42">
                  <c:v>320</c:v>
                </c:pt>
                <c:pt idx="43">
                  <c:v>330</c:v>
                </c:pt>
                <c:pt idx="44">
                  <c:v>340</c:v>
                </c:pt>
                <c:pt idx="45">
                  <c:v>350</c:v>
                </c:pt>
                <c:pt idx="46">
                  <c:v>360</c:v>
                </c:pt>
                <c:pt idx="47">
                  <c:v>370</c:v>
                </c:pt>
                <c:pt idx="48">
                  <c:v>380</c:v>
                </c:pt>
                <c:pt idx="49">
                  <c:v>390</c:v>
                </c:pt>
                <c:pt idx="50">
                  <c:v>400</c:v>
                </c:pt>
              </c:numCache>
            </c:numRef>
          </c:xVal>
          <c:yVal>
            <c:numRef>
              <c:f>ACT!$U$2:$U$100</c:f>
              <c:numCache>
                <c:formatCode>0.00</c:formatCode>
                <c:ptCount val="99"/>
                <c:pt idx="0">
                  <c:v>4.6407241550455467</c:v>
                </c:pt>
                <c:pt idx="1">
                  <c:v>4.8991206876203321</c:v>
                </c:pt>
                <c:pt idx="2">
                  <c:v>5.2131886315417475</c:v>
                </c:pt>
                <c:pt idx="3">
                  <c:v>5.6029174340278338</c:v>
                </c:pt>
                <c:pt idx="4">
                  <c:v>6.0990438494677441</c:v>
                </c:pt>
                <c:pt idx="5">
                  <c:v>6.7512649538026217</c:v>
                </c:pt>
                <c:pt idx="6">
                  <c:v>7.6451342939850271</c:v>
                </c:pt>
                <c:pt idx="7">
                  <c:v>8.9401486309551572</c:v>
                </c:pt>
                <c:pt idx="8">
                  <c:v>10.965603610303283</c:v>
                </c:pt>
                <c:pt idx="9">
                  <c:v>14.491734743221034</c:v>
                </c:pt>
                <c:pt idx="10">
                  <c:v>21.501624064486251</c:v>
                </c:pt>
                <c:pt idx="11">
                  <c:v>35.392825371864163</c:v>
                </c:pt>
                <c:pt idx="12">
                  <c:v>50.679438246134204</c:v>
                </c:pt>
                <c:pt idx="13">
                  <c:v>58.95850245244587</c:v>
                </c:pt>
                <c:pt idx="14">
                  <c:v>63.022280892049466</c:v>
                </c:pt>
                <c:pt idx="15">
                  <c:v>65.290634059468175</c:v>
                </c:pt>
                <c:pt idx="16">
                  <c:v>66.710895729483269</c:v>
                </c:pt>
                <c:pt idx="17">
                  <c:v>67.676660434251133</c:v>
                </c:pt>
                <c:pt idx="18">
                  <c:v>68.373635934409762</c:v>
                </c:pt>
                <c:pt idx="19">
                  <c:v>68.899397560275474</c:v>
                </c:pt>
                <c:pt idx="20">
                  <c:v>69.309718406759913</c:v>
                </c:pt>
                <c:pt idx="21">
                  <c:v>69.638654948369435</c:v>
                </c:pt>
                <c:pt idx="22">
                  <c:v>69.908128222019442</c:v>
                </c:pt>
                <c:pt idx="23">
                  <c:v>70.132865415744078</c:v>
                </c:pt>
                <c:pt idx="24">
                  <c:v>70.323117185440026</c:v>
                </c:pt>
                <c:pt idx="25">
                  <c:v>70.486233498544834</c:v>
                </c:pt>
                <c:pt idx="26">
                  <c:v>70.627619303981973</c:v>
                </c:pt>
                <c:pt idx="27">
                  <c:v>70.751336581764775</c:v>
                </c:pt>
                <c:pt idx="28">
                  <c:v>70.860496247773867</c:v>
                </c:pt>
                <c:pt idx="29">
                  <c:v>70.957520630071656</c:v>
                </c:pt>
                <c:pt idx="30">
                  <c:v>71.044323703048121</c:v>
                </c:pt>
                <c:pt idx="31">
                  <c:v>71.122437607706061</c:v>
                </c:pt>
                <c:pt idx="32">
                  <c:v>71.19310322584667</c:v>
                </c:pt>
                <c:pt idx="33">
                  <c:v>71.257336170205434</c:v>
                </c:pt>
                <c:pt idx="34">
                  <c:v>71.315975630005838</c:v>
                </c:pt>
                <c:pt idx="35">
                  <c:v>71.369721047716084</c:v>
                </c:pt>
                <c:pt idx="36">
                  <c:v>71.419160019628691</c:v>
                </c:pt>
                <c:pt idx="37">
                  <c:v>71.464789774237659</c:v>
                </c:pt>
                <c:pt idx="38">
                  <c:v>71.507033887997778</c:v>
                </c:pt>
                <c:pt idx="39">
                  <c:v>71.546255425734898</c:v>
                </c:pt>
                <c:pt idx="40">
                  <c:v>71.582767366583539</c:v>
                </c:pt>
                <c:pt idx="41">
                  <c:v>71.616840947462123</c:v>
                </c:pt>
                <c:pt idx="42">
                  <c:v>71.648712393437577</c:v>
                </c:pt>
                <c:pt idx="43">
                  <c:v>71.678588387273777</c:v>
                </c:pt>
                <c:pt idx="44">
                  <c:v>71.706650545234282</c:v>
                </c:pt>
                <c:pt idx="45">
                  <c:v>71.733059103487335</c:v>
                </c:pt>
                <c:pt idx="46">
                  <c:v>71.757955972830018</c:v>
                </c:pt>
                <c:pt idx="47">
                  <c:v>71.781467284451367</c:v>
                </c:pt>
                <c:pt idx="48">
                  <c:v>71.803705522953834</c:v>
                </c:pt>
                <c:pt idx="49">
                  <c:v>71.824771322618616</c:v>
                </c:pt>
                <c:pt idx="50">
                  <c:v>71.844754987328812</c:v>
                </c:pt>
                <c:pt idx="55" formatCode="General">
                  <c:v>-1.6448536269514726</c:v>
                </c:pt>
                <c:pt idx="56" formatCode="General">
                  <c:v>1.6448536269514715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A91-4073-8194-811842632A1F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ACT!$F$44:$F$44</c:f>
              <c:numCache>
                <c:formatCode>0.00</c:formatCode>
                <c:ptCount val="1"/>
              </c:numCache>
            </c:numRef>
          </c:xVal>
          <c:yVal>
            <c:numRef>
              <c:f>ACT!$G$44:$G$44</c:f>
              <c:numCache>
                <c:formatCode>General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A3B-4802-ABB0-EB43084DD052}"/>
            </c:ext>
          </c:extLst>
        </c:ser>
        <c:ser>
          <c:idx val="3"/>
          <c:order val="3"/>
          <c:spPr>
            <a:ln w="19050" cap="rnd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ACT!$E$37:$E$38</c:f>
              <c:numCache>
                <c:formatCode>0.0</c:formatCode>
                <c:ptCount val="2"/>
                <c:pt idx="0">
                  <c:v>11.116573801468007</c:v>
                </c:pt>
                <c:pt idx="1">
                  <c:v>11.116573801468007</c:v>
                </c:pt>
              </c:numCache>
            </c:numRef>
          </c:xVal>
          <c:yVal>
            <c:numRef>
              <c:f>ACT!$F$37:$F$38</c:f>
              <c:numCache>
                <c:formatCode>0.00</c:formatCode>
                <c:ptCount val="2"/>
                <c:pt idx="0">
                  <c:v>0</c:v>
                </c:pt>
                <c:pt idx="1">
                  <c:v>37.301249999999996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9ED-4004-BEA8-066CFBD72E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02140760"/>
        <c:axId val="1102143056"/>
      </c:scatterChart>
      <c:valAx>
        <c:axId val="1102140760"/>
        <c:scaling>
          <c:orientation val="minMax"/>
          <c:max val="200"/>
          <c:min val="-10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6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600" b="1"/>
                  <a:t>Temperature (</a:t>
                </a:r>
                <a:r>
                  <a:rPr lang="en-US" sz="1600" b="1">
                    <a:sym typeface="Symbol" panose="05050102010706020507" pitchFamily="18" charset="2"/>
                  </a:rPr>
                  <a:t>C)</a:t>
                </a:r>
                <a:endParaRPr lang="en-US" sz="1600" b="1"/>
              </a:p>
            </c:rich>
          </c:tx>
          <c:layout>
            <c:manualLayout>
              <c:xMode val="edge"/>
              <c:yMode val="edge"/>
              <c:x val="0.42947525679997589"/>
              <c:y val="0.9425693932694669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6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in"/>
        <c:minorTickMark val="in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2143056"/>
        <c:crosses val="autoZero"/>
        <c:crossBetween val="midCat"/>
      </c:valAx>
      <c:valAx>
        <c:axId val="1102143056"/>
        <c:scaling>
          <c:orientation val="minMax"/>
          <c:min val="0"/>
        </c:scaling>
        <c:delete val="0"/>
        <c:axPos val="l"/>
        <c:title>
          <c:tx>
            <c:strRef>
              <c:f>'Input data'!$M$1</c:f>
              <c:strCache>
                <c:ptCount val="1"/>
                <c:pt idx="0">
                  <c:v>KV (J)</c:v>
                </c:pt>
              </c:strCache>
            </c:strRef>
          </c:tx>
          <c:layout>
            <c:manualLayout>
              <c:xMode val="edge"/>
              <c:yMode val="edge"/>
              <c:x val="1.1707238468240376E-3"/>
              <c:y val="0.4386677807499559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6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0"/>
        <c:majorTickMark val="in"/>
        <c:minorTickMark val="in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2140760"/>
        <c:crossesAt val="-200"/>
        <c:crossBetween val="midCat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800" b="1" i="0" baseline="0">
                <a:effectLst/>
              </a:rPr>
              <a:t>Asymmetric </a:t>
            </a:r>
            <a:r>
              <a:rPr lang="en-US" sz="1800" b="1"/>
              <a:t>Kohout</a:t>
            </a:r>
            <a:r>
              <a:rPr lang="en-US" sz="1800" b="1" baseline="0"/>
              <a:t> Model</a:t>
            </a:r>
            <a:endParaRPr lang="en-US" sz="1800" b="1"/>
          </a:p>
        </c:rich>
      </c:tx>
      <c:layout>
        <c:manualLayout>
          <c:xMode val="edge"/>
          <c:yMode val="edge"/>
          <c:x val="0.33048033407894772"/>
          <c:y val="2.411155547560070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80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9.8991372176292738E-2"/>
          <c:y val="0.10636226661792553"/>
          <c:w val="0.86819995575475017"/>
          <c:h val="0.77045725769172013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KHT!$A$3:$A$32</c:f>
              <c:numCache>
                <c:formatCode>General</c:formatCode>
                <c:ptCount val="30"/>
                <c:pt idx="0">
                  <c:v>-80</c:v>
                </c:pt>
                <c:pt idx="1">
                  <c:v>-50</c:v>
                </c:pt>
                <c:pt idx="2">
                  <c:v>-35</c:v>
                </c:pt>
                <c:pt idx="3">
                  <c:v>-15</c:v>
                </c:pt>
                <c:pt idx="4">
                  <c:v>0</c:v>
                </c:pt>
                <c:pt idx="5">
                  <c:v>10</c:v>
                </c:pt>
                <c:pt idx="6">
                  <c:v>21</c:v>
                </c:pt>
                <c:pt idx="7">
                  <c:v>40</c:v>
                </c:pt>
                <c:pt idx="8">
                  <c:v>76</c:v>
                </c:pt>
                <c:pt idx="9">
                  <c:v>100</c:v>
                </c:pt>
                <c:pt idx="10">
                  <c:v>148</c:v>
                </c:pt>
                <c:pt idx="11">
                  <c:v>198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KHT!$B$3:$B$32</c:f>
              <c:numCache>
                <c:formatCode>0.00</c:formatCode>
                <c:ptCount val="30"/>
                <c:pt idx="0">
                  <c:v>2.4</c:v>
                </c:pt>
                <c:pt idx="1">
                  <c:v>4.13</c:v>
                </c:pt>
                <c:pt idx="2">
                  <c:v>4.13</c:v>
                </c:pt>
                <c:pt idx="3">
                  <c:v>10.210000000000001</c:v>
                </c:pt>
                <c:pt idx="4">
                  <c:v>27.99</c:v>
                </c:pt>
                <c:pt idx="5">
                  <c:v>34.25</c:v>
                </c:pt>
                <c:pt idx="6">
                  <c:v>48.86</c:v>
                </c:pt>
                <c:pt idx="7">
                  <c:v>61.88</c:v>
                </c:pt>
                <c:pt idx="8">
                  <c:v>74.290000000000006</c:v>
                </c:pt>
                <c:pt idx="9">
                  <c:v>75.22</c:v>
                </c:pt>
                <c:pt idx="10">
                  <c:v>71.5</c:v>
                </c:pt>
                <c:pt idx="11">
                  <c:v>69.400000000000006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98D-4881-91D6-38C11546413A}"/>
            </c:ext>
          </c:extLst>
        </c:ser>
        <c:ser>
          <c:idx val="1"/>
          <c:order val="1"/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KHT!$V$2:$V$100</c:f>
              <c:numCache>
                <c:formatCode>General</c:formatCode>
                <c:ptCount val="99"/>
                <c:pt idx="0">
                  <c:v>-100</c:v>
                </c:pt>
                <c:pt idx="1">
                  <c:v>-90</c:v>
                </c:pt>
                <c:pt idx="2">
                  <c:v>-80</c:v>
                </c:pt>
                <c:pt idx="3">
                  <c:v>-70</c:v>
                </c:pt>
                <c:pt idx="4">
                  <c:v>-60</c:v>
                </c:pt>
                <c:pt idx="5">
                  <c:v>-50</c:v>
                </c:pt>
                <c:pt idx="6">
                  <c:v>-40</c:v>
                </c:pt>
                <c:pt idx="7">
                  <c:v>-30</c:v>
                </c:pt>
                <c:pt idx="8">
                  <c:v>-20</c:v>
                </c:pt>
                <c:pt idx="9">
                  <c:v>-10</c:v>
                </c:pt>
                <c:pt idx="10">
                  <c:v>0</c:v>
                </c:pt>
                <c:pt idx="11">
                  <c:v>10</c:v>
                </c:pt>
                <c:pt idx="12">
                  <c:v>20</c:v>
                </c:pt>
                <c:pt idx="13">
                  <c:v>30</c:v>
                </c:pt>
                <c:pt idx="14">
                  <c:v>40</c:v>
                </c:pt>
                <c:pt idx="15">
                  <c:v>50</c:v>
                </c:pt>
                <c:pt idx="16">
                  <c:v>60</c:v>
                </c:pt>
                <c:pt idx="17">
                  <c:v>70</c:v>
                </c:pt>
                <c:pt idx="18">
                  <c:v>80</c:v>
                </c:pt>
                <c:pt idx="19">
                  <c:v>90</c:v>
                </c:pt>
                <c:pt idx="20">
                  <c:v>100</c:v>
                </c:pt>
                <c:pt idx="21">
                  <c:v>110</c:v>
                </c:pt>
                <c:pt idx="22">
                  <c:v>120</c:v>
                </c:pt>
                <c:pt idx="23">
                  <c:v>130</c:v>
                </c:pt>
                <c:pt idx="24">
                  <c:v>140</c:v>
                </c:pt>
                <c:pt idx="25">
                  <c:v>150</c:v>
                </c:pt>
                <c:pt idx="26">
                  <c:v>160</c:v>
                </c:pt>
                <c:pt idx="27">
                  <c:v>170</c:v>
                </c:pt>
                <c:pt idx="28">
                  <c:v>180</c:v>
                </c:pt>
                <c:pt idx="29">
                  <c:v>190</c:v>
                </c:pt>
                <c:pt idx="30">
                  <c:v>200</c:v>
                </c:pt>
                <c:pt idx="31">
                  <c:v>210</c:v>
                </c:pt>
                <c:pt idx="32">
                  <c:v>220</c:v>
                </c:pt>
                <c:pt idx="33">
                  <c:v>230</c:v>
                </c:pt>
                <c:pt idx="34">
                  <c:v>240</c:v>
                </c:pt>
                <c:pt idx="35">
                  <c:v>250</c:v>
                </c:pt>
                <c:pt idx="36">
                  <c:v>260</c:v>
                </c:pt>
                <c:pt idx="37">
                  <c:v>270</c:v>
                </c:pt>
                <c:pt idx="38">
                  <c:v>280</c:v>
                </c:pt>
                <c:pt idx="39">
                  <c:v>290</c:v>
                </c:pt>
                <c:pt idx="40">
                  <c:v>300</c:v>
                </c:pt>
                <c:pt idx="41">
                  <c:v>310</c:v>
                </c:pt>
                <c:pt idx="42">
                  <c:v>320</c:v>
                </c:pt>
                <c:pt idx="43">
                  <c:v>330</c:v>
                </c:pt>
                <c:pt idx="44">
                  <c:v>340</c:v>
                </c:pt>
                <c:pt idx="45">
                  <c:v>350</c:v>
                </c:pt>
                <c:pt idx="46">
                  <c:v>360</c:v>
                </c:pt>
                <c:pt idx="47">
                  <c:v>370</c:v>
                </c:pt>
                <c:pt idx="48">
                  <c:v>380</c:v>
                </c:pt>
                <c:pt idx="49">
                  <c:v>390</c:v>
                </c:pt>
                <c:pt idx="50">
                  <c:v>400</c:v>
                </c:pt>
              </c:numCache>
            </c:numRef>
          </c:xVal>
          <c:yVal>
            <c:numRef>
              <c:f>KHT!$Y$2:$Y$100</c:f>
              <c:numCache>
                <c:formatCode>0.00</c:formatCode>
                <c:ptCount val="99"/>
                <c:pt idx="0">
                  <c:v>2.216673170946919</c:v>
                </c:pt>
                <c:pt idx="1">
                  <c:v>2.3425515367125405</c:v>
                </c:pt>
                <c:pt idx="2">
                  <c:v>2.5415601515928792</c:v>
                </c:pt>
                <c:pt idx="3">
                  <c:v>2.8561847382381478</c:v>
                </c:pt>
                <c:pt idx="4">
                  <c:v>3.3535935091158668</c:v>
                </c:pt>
                <c:pt idx="5">
                  <c:v>4.139976696724271</c:v>
                </c:pt>
                <c:pt idx="6">
                  <c:v>5.3832167720087085</c:v>
                </c:pt>
                <c:pt idx="7">
                  <c:v>7.3487291445378871</c:v>
                </c:pt>
                <c:pt idx="8">
                  <c:v>10.456124862683009</c:v>
                </c:pt>
                <c:pt idx="9">
                  <c:v>15.368792055269356</c:v>
                </c:pt>
                <c:pt idx="10">
                  <c:v>23.135520574648446</c:v>
                </c:pt>
                <c:pt idx="11">
                  <c:v>35.414404840362181</c:v>
                </c:pt>
                <c:pt idx="12">
                  <c:v>48.954812161729706</c:v>
                </c:pt>
                <c:pt idx="13">
                  <c:v>57.603190645244432</c:v>
                </c:pt>
                <c:pt idx="14">
                  <c:v>63.088703866596965</c:v>
                </c:pt>
                <c:pt idx="15">
                  <c:v>66.568067698671584</c:v>
                </c:pt>
                <c:pt idx="16">
                  <c:v>68.774966522436344</c:v>
                </c:pt>
                <c:pt idx="17">
                  <c:v>70.174763339727008</c:v>
                </c:pt>
                <c:pt idx="18">
                  <c:v>71.062629656296266</c:v>
                </c:pt>
                <c:pt idx="19">
                  <c:v>71.625787527753687</c:v>
                </c:pt>
                <c:pt idx="20">
                  <c:v>71.98298858636565</c:v>
                </c:pt>
                <c:pt idx="21">
                  <c:v>72.209554888179568</c:v>
                </c:pt>
                <c:pt idx="22">
                  <c:v>72.353261878626654</c:v>
                </c:pt>
                <c:pt idx="23">
                  <c:v>72.444412676154883</c:v>
                </c:pt>
                <c:pt idx="24">
                  <c:v>72.502228011819369</c:v>
                </c:pt>
                <c:pt idx="25">
                  <c:v>72.538899254733735</c:v>
                </c:pt>
                <c:pt idx="26">
                  <c:v>72.562159174293654</c:v>
                </c:pt>
                <c:pt idx="27">
                  <c:v>72.576912529100767</c:v>
                </c:pt>
                <c:pt idx="28">
                  <c:v>72.586270320622958</c:v>
                </c:pt>
                <c:pt idx="29">
                  <c:v>72.592205801963829</c:v>
                </c:pt>
                <c:pt idx="30">
                  <c:v>72.595970572600592</c:v>
                </c:pt>
                <c:pt idx="31">
                  <c:v>72.598358499903128</c:v>
                </c:pt>
                <c:pt idx="32">
                  <c:v>72.599873119876634</c:v>
                </c:pt>
                <c:pt idx="33">
                  <c:v>72.600833816486514</c:v>
                </c:pt>
                <c:pt idx="34">
                  <c:v>72.601443169322451</c:v>
                </c:pt>
                <c:pt idx="35">
                  <c:v>72.60182967102844</c:v>
                </c:pt>
                <c:pt idx="36">
                  <c:v>72.602074822211677</c:v>
                </c:pt>
                <c:pt idx="37">
                  <c:v>72.602230317263093</c:v>
                </c:pt>
                <c:pt idx="38">
                  <c:v>72.602328945018797</c:v>
                </c:pt>
                <c:pt idx="39">
                  <c:v>72.602391502856548</c:v>
                </c:pt>
                <c:pt idx="40">
                  <c:v>72.602431182184489</c:v>
                </c:pt>
                <c:pt idx="41">
                  <c:v>72.60245635007908</c:v>
                </c:pt>
                <c:pt idx="42">
                  <c:v>72.602472313628638</c:v>
                </c:pt>
                <c:pt idx="43">
                  <c:v>72.602482439025252</c:v>
                </c:pt>
                <c:pt idx="44">
                  <c:v>72.602488861384899</c:v>
                </c:pt>
                <c:pt idx="45">
                  <c:v>72.60249293497381</c:v>
                </c:pt>
                <c:pt idx="46">
                  <c:v>72.602495518779079</c:v>
                </c:pt>
                <c:pt idx="47">
                  <c:v>72.602497157640983</c:v>
                </c:pt>
                <c:pt idx="48">
                  <c:v>72.60249819714204</c:v>
                </c:pt>
                <c:pt idx="49">
                  <c:v>72.602498856479144</c:v>
                </c:pt>
                <c:pt idx="50">
                  <c:v>72.602499274684973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98D-4881-91D6-38C11546413A}"/>
            </c:ext>
          </c:extLst>
        </c:ser>
        <c:ser>
          <c:idx val="3"/>
          <c:order val="2"/>
          <c:spPr>
            <a:ln w="19050" cap="rnd">
              <a:solidFill>
                <a:schemeClr val="tx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KHT!$E$36:$E$37</c:f>
              <c:numCache>
                <c:formatCode>0.0</c:formatCode>
                <c:ptCount val="2"/>
                <c:pt idx="0">
                  <c:v>11.199490733868128</c:v>
                </c:pt>
                <c:pt idx="1">
                  <c:v>11.199490733868128</c:v>
                </c:pt>
              </c:numCache>
            </c:numRef>
          </c:xVal>
          <c:yVal>
            <c:numRef>
              <c:f>KHT!$F$36:$F$37</c:f>
              <c:numCache>
                <c:formatCode>0.00</c:formatCode>
                <c:ptCount val="2"/>
                <c:pt idx="0">
                  <c:v>0</c:v>
                </c:pt>
                <c:pt idx="1">
                  <c:v>37.301249999999996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98D-4881-91D6-38C1154641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02140760"/>
        <c:axId val="1102143056"/>
      </c:scatterChart>
      <c:valAx>
        <c:axId val="1102140760"/>
        <c:scaling>
          <c:orientation val="minMax"/>
          <c:max val="200"/>
          <c:min val="-10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6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600" b="1"/>
                  <a:t>Temperature (</a:t>
                </a:r>
                <a:r>
                  <a:rPr lang="en-US" sz="1600" b="1">
                    <a:sym typeface="Symbol" panose="05050102010706020507" pitchFamily="18" charset="2"/>
                  </a:rPr>
                  <a:t>C)</a:t>
                </a:r>
                <a:endParaRPr lang="en-US" sz="1600" b="1"/>
              </a:p>
            </c:rich>
          </c:tx>
          <c:layout>
            <c:manualLayout>
              <c:xMode val="edge"/>
              <c:yMode val="edge"/>
              <c:x val="0.42947525679997589"/>
              <c:y val="0.9425693932694669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6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in"/>
        <c:minorTickMark val="in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2143056"/>
        <c:crosses val="autoZero"/>
        <c:crossBetween val="midCat"/>
      </c:valAx>
      <c:valAx>
        <c:axId val="1102143056"/>
        <c:scaling>
          <c:orientation val="minMax"/>
          <c:min val="0"/>
        </c:scaling>
        <c:delete val="0"/>
        <c:axPos val="l"/>
        <c:title>
          <c:tx>
            <c:strRef>
              <c:f>'Input data'!$M$1</c:f>
              <c:strCache>
                <c:ptCount val="1"/>
                <c:pt idx="0">
                  <c:v>KV (J)</c:v>
                </c:pt>
              </c:strCache>
            </c:strRef>
          </c:tx>
          <c:layout>
            <c:manualLayout>
              <c:xMode val="edge"/>
              <c:yMode val="edge"/>
              <c:x val="1.1707238468240376E-3"/>
              <c:y val="0.4386677807499559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6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0"/>
        <c:majorTickMark val="in"/>
        <c:minorTickMark val="in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2140760"/>
        <c:crossesAt val="-200"/>
        <c:crossBetween val="midCat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3934717476353192"/>
          <c:y val="3.9625913087261634E-2"/>
          <c:w val="0.82103018372703407"/>
          <c:h val="0.80106442024002922"/>
        </c:manualLayout>
      </c:layout>
      <c:scatterChart>
        <c:scatterStyle val="lineMarker"/>
        <c:varyColors val="0"/>
        <c:ser>
          <c:idx val="0"/>
          <c:order val="0"/>
          <c:tx>
            <c:v>Data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7"/>
            <c:spPr>
              <a:solidFill>
                <a:schemeClr val="accent1"/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HT!$A$3:$A$32</c:f>
              <c:numCache>
                <c:formatCode>General</c:formatCode>
                <c:ptCount val="30"/>
                <c:pt idx="0">
                  <c:v>-80</c:v>
                </c:pt>
                <c:pt idx="1">
                  <c:v>-50</c:v>
                </c:pt>
                <c:pt idx="2">
                  <c:v>-35</c:v>
                </c:pt>
                <c:pt idx="3">
                  <c:v>-15</c:v>
                </c:pt>
                <c:pt idx="4">
                  <c:v>0</c:v>
                </c:pt>
                <c:pt idx="5">
                  <c:v>10</c:v>
                </c:pt>
                <c:pt idx="6">
                  <c:v>21</c:v>
                </c:pt>
                <c:pt idx="7">
                  <c:v>40</c:v>
                </c:pt>
                <c:pt idx="8">
                  <c:v>76</c:v>
                </c:pt>
                <c:pt idx="9">
                  <c:v>100</c:v>
                </c:pt>
                <c:pt idx="10">
                  <c:v>148</c:v>
                </c:pt>
                <c:pt idx="11">
                  <c:v>198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HT!$B$3:$B$32</c:f>
              <c:numCache>
                <c:formatCode>0.00</c:formatCode>
                <c:ptCount val="30"/>
                <c:pt idx="0">
                  <c:v>2.4</c:v>
                </c:pt>
                <c:pt idx="1">
                  <c:v>4.13</c:v>
                </c:pt>
                <c:pt idx="2">
                  <c:v>4.13</c:v>
                </c:pt>
                <c:pt idx="3">
                  <c:v>10.210000000000001</c:v>
                </c:pt>
                <c:pt idx="4">
                  <c:v>27.99</c:v>
                </c:pt>
                <c:pt idx="5">
                  <c:v>34.25</c:v>
                </c:pt>
                <c:pt idx="6">
                  <c:v>48.86</c:v>
                </c:pt>
                <c:pt idx="7">
                  <c:v>61.88</c:v>
                </c:pt>
                <c:pt idx="8">
                  <c:v>74.290000000000006</c:v>
                </c:pt>
                <c:pt idx="9">
                  <c:v>75.22</c:v>
                </c:pt>
                <c:pt idx="10">
                  <c:v>71.5</c:v>
                </c:pt>
                <c:pt idx="11">
                  <c:v>69.400000000000006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88-4FE5-AEE8-82A292B91F63}"/>
            </c:ext>
          </c:extLst>
        </c:ser>
        <c:ser>
          <c:idx val="1"/>
          <c:order val="1"/>
          <c:tx>
            <c:v>HT</c:v>
          </c:tx>
          <c:spPr>
            <a:ln w="190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HT!$T$2:$T$100</c:f>
              <c:numCache>
                <c:formatCode>General</c:formatCode>
                <c:ptCount val="99"/>
                <c:pt idx="0">
                  <c:v>-100</c:v>
                </c:pt>
                <c:pt idx="1">
                  <c:v>-90</c:v>
                </c:pt>
                <c:pt idx="2">
                  <c:v>-80</c:v>
                </c:pt>
                <c:pt idx="3">
                  <c:v>-70</c:v>
                </c:pt>
                <c:pt idx="4">
                  <c:v>-60</c:v>
                </c:pt>
                <c:pt idx="5">
                  <c:v>-50</c:v>
                </c:pt>
                <c:pt idx="6">
                  <c:v>-40</c:v>
                </c:pt>
                <c:pt idx="7">
                  <c:v>-30</c:v>
                </c:pt>
                <c:pt idx="8">
                  <c:v>-20</c:v>
                </c:pt>
                <c:pt idx="9">
                  <c:v>-10</c:v>
                </c:pt>
                <c:pt idx="10">
                  <c:v>0</c:v>
                </c:pt>
                <c:pt idx="11">
                  <c:v>10</c:v>
                </c:pt>
                <c:pt idx="12">
                  <c:v>20</c:v>
                </c:pt>
                <c:pt idx="13">
                  <c:v>30</c:v>
                </c:pt>
                <c:pt idx="14">
                  <c:v>40</c:v>
                </c:pt>
                <c:pt idx="15">
                  <c:v>50</c:v>
                </c:pt>
                <c:pt idx="16">
                  <c:v>60</c:v>
                </c:pt>
                <c:pt idx="17">
                  <c:v>70</c:v>
                </c:pt>
                <c:pt idx="18">
                  <c:v>80</c:v>
                </c:pt>
                <c:pt idx="19">
                  <c:v>90</c:v>
                </c:pt>
                <c:pt idx="20">
                  <c:v>100</c:v>
                </c:pt>
                <c:pt idx="21">
                  <c:v>110</c:v>
                </c:pt>
                <c:pt idx="22">
                  <c:v>120</c:v>
                </c:pt>
                <c:pt idx="23">
                  <c:v>130</c:v>
                </c:pt>
                <c:pt idx="24">
                  <c:v>140</c:v>
                </c:pt>
                <c:pt idx="25">
                  <c:v>150</c:v>
                </c:pt>
                <c:pt idx="26">
                  <c:v>160</c:v>
                </c:pt>
                <c:pt idx="27">
                  <c:v>170</c:v>
                </c:pt>
                <c:pt idx="28">
                  <c:v>180</c:v>
                </c:pt>
                <c:pt idx="29">
                  <c:v>190</c:v>
                </c:pt>
                <c:pt idx="30">
                  <c:v>200</c:v>
                </c:pt>
                <c:pt idx="31">
                  <c:v>210</c:v>
                </c:pt>
                <c:pt idx="32">
                  <c:v>220</c:v>
                </c:pt>
                <c:pt idx="33">
                  <c:v>230</c:v>
                </c:pt>
                <c:pt idx="34">
                  <c:v>240</c:v>
                </c:pt>
                <c:pt idx="35">
                  <c:v>250</c:v>
                </c:pt>
                <c:pt idx="36">
                  <c:v>260</c:v>
                </c:pt>
                <c:pt idx="37">
                  <c:v>270</c:v>
                </c:pt>
                <c:pt idx="38">
                  <c:v>280</c:v>
                </c:pt>
                <c:pt idx="39">
                  <c:v>290</c:v>
                </c:pt>
                <c:pt idx="40">
                  <c:v>300</c:v>
                </c:pt>
                <c:pt idx="41">
                  <c:v>310</c:v>
                </c:pt>
                <c:pt idx="42">
                  <c:v>320</c:v>
                </c:pt>
                <c:pt idx="43">
                  <c:v>330</c:v>
                </c:pt>
                <c:pt idx="44">
                  <c:v>340</c:v>
                </c:pt>
                <c:pt idx="45">
                  <c:v>350</c:v>
                </c:pt>
                <c:pt idx="46">
                  <c:v>360</c:v>
                </c:pt>
                <c:pt idx="47">
                  <c:v>370</c:v>
                </c:pt>
                <c:pt idx="48">
                  <c:v>380</c:v>
                </c:pt>
                <c:pt idx="49">
                  <c:v>390</c:v>
                </c:pt>
                <c:pt idx="50">
                  <c:v>400</c:v>
                </c:pt>
              </c:numCache>
            </c:numRef>
          </c:xVal>
          <c:yVal>
            <c:numRef>
              <c:f>HT!$U$2:$U$100</c:f>
              <c:numCache>
                <c:formatCode>0.00</c:formatCode>
                <c:ptCount val="99"/>
                <c:pt idx="0">
                  <c:v>2.0438700946325312</c:v>
                </c:pt>
                <c:pt idx="1">
                  <c:v>2.0851279040338753</c:v>
                </c:pt>
                <c:pt idx="2">
                  <c:v>2.165096000177769</c:v>
                </c:pt>
                <c:pt idx="3">
                  <c:v>2.3198444078267642</c:v>
                </c:pt>
                <c:pt idx="4">
                  <c:v>2.6183687926036114</c:v>
                </c:pt>
                <c:pt idx="5">
                  <c:v>3.1907979306856973</c:v>
                </c:pt>
                <c:pt idx="6">
                  <c:v>4.275896961138308</c:v>
                </c:pt>
                <c:pt idx="7">
                  <c:v>6.2886851838442972</c:v>
                </c:pt>
                <c:pt idx="8">
                  <c:v>9.8763688530092715</c:v>
                </c:pt>
                <c:pt idx="9">
                  <c:v>15.838984372016579</c:v>
                </c:pt>
                <c:pt idx="10">
                  <c:v>24.68314561057587</c:v>
                </c:pt>
                <c:pt idx="11">
                  <c:v>35.812589937272627</c:v>
                </c:pt>
                <c:pt idx="12">
                  <c:v>47.246606756427802</c:v>
                </c:pt>
                <c:pt idx="13">
                  <c:v>56.788975095547784</c:v>
                </c:pt>
                <c:pt idx="14">
                  <c:v>63.465391654649224</c:v>
                </c:pt>
                <c:pt idx="15">
                  <c:v>67.581372667688669</c:v>
                </c:pt>
                <c:pt idx="16">
                  <c:v>69.924029988055423</c:v>
                </c:pt>
                <c:pt idx="17">
                  <c:v>71.197119350089181</c:v>
                </c:pt>
                <c:pt idx="18">
                  <c:v>71.871614503804636</c:v>
                </c:pt>
                <c:pt idx="19">
                  <c:v>72.224163925418338</c:v>
                </c:pt>
                <c:pt idx="20">
                  <c:v>72.407133341109017</c:v>
                </c:pt>
                <c:pt idx="21">
                  <c:v>72.501742762725712</c:v>
                </c:pt>
                <c:pt idx="22">
                  <c:v>72.550569855012114</c:v>
                </c:pt>
                <c:pt idx="23">
                  <c:v>72.575744252623494</c:v>
                </c:pt>
                <c:pt idx="24">
                  <c:v>72.588717134432585</c:v>
                </c:pt>
                <c:pt idx="25">
                  <c:v>72.595400573801598</c:v>
                </c:pt>
                <c:pt idx="26">
                  <c:v>72.598843319307448</c:v>
                </c:pt>
                <c:pt idx="27">
                  <c:v>72.600616608708265</c:v>
                </c:pt>
                <c:pt idx="28">
                  <c:v>72.60152996191097</c:v>
                </c:pt>
                <c:pt idx="29">
                  <c:v>72.602000386353666</c:v>
                </c:pt>
                <c:pt idx="30">
                  <c:v>72.602242677125929</c:v>
                </c:pt>
                <c:pt idx="31">
                  <c:v>72.602367467688651</c:v>
                </c:pt>
                <c:pt idx="32">
                  <c:v>72.602431740236625</c:v>
                </c:pt>
                <c:pt idx="33">
                  <c:v>72.602464843341281</c:v>
                </c:pt>
                <c:pt idx="34">
                  <c:v>72.602481892841254</c:v>
                </c:pt>
                <c:pt idx="35">
                  <c:v>72.602490674052319</c:v>
                </c:pt>
                <c:pt idx="36">
                  <c:v>72.602495196745338</c:v>
                </c:pt>
                <c:pt idx="37">
                  <c:v>72.602497526122221</c:v>
                </c:pt>
                <c:pt idx="38">
                  <c:v>72.602498725849117</c:v>
                </c:pt>
                <c:pt idx="39">
                  <c:v>72.602499343758822</c:v>
                </c:pt>
                <c:pt idx="40">
                  <c:v>72.602499662008256</c:v>
                </c:pt>
                <c:pt idx="41">
                  <c:v>72.602499825920063</c:v>
                </c:pt>
                <c:pt idx="42">
                  <c:v>72.602499910341521</c:v>
                </c:pt>
                <c:pt idx="43">
                  <c:v>72.602499953822118</c:v>
                </c:pt>
                <c:pt idx="44">
                  <c:v>72.60249997621645</c:v>
                </c:pt>
                <c:pt idx="45">
                  <c:v>72.602499987750477</c:v>
                </c:pt>
                <c:pt idx="46">
                  <c:v>72.602499993690969</c:v>
                </c:pt>
                <c:pt idx="47">
                  <c:v>72.602499996750581</c:v>
                </c:pt>
                <c:pt idx="48">
                  <c:v>72.602499998326408</c:v>
                </c:pt>
                <c:pt idx="49">
                  <c:v>72.602499999138018</c:v>
                </c:pt>
                <c:pt idx="50">
                  <c:v>72.602499999556045</c:v>
                </c:pt>
                <c:pt idx="55" formatCode="General">
                  <c:v>-1.6448536269514726</c:v>
                </c:pt>
                <c:pt idx="56" formatCode="General">
                  <c:v>1.6448536269514715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B88-4FE5-AEE8-82A292B91F63}"/>
            </c:ext>
          </c:extLst>
        </c:ser>
        <c:ser>
          <c:idx val="2"/>
          <c:order val="2"/>
          <c:tx>
            <c:v>AHT</c:v>
          </c:tx>
          <c:spPr>
            <a:ln w="19050">
              <a:solidFill>
                <a:srgbClr val="FF0000"/>
              </a:solidFill>
              <a:prstDash val="dash"/>
            </a:ln>
          </c:spPr>
          <c:marker>
            <c:symbol val="none"/>
          </c:marker>
          <c:xVal>
            <c:numRef>
              <c:f>AHT!$T$2:$T$100</c:f>
              <c:numCache>
                <c:formatCode>General</c:formatCode>
                <c:ptCount val="99"/>
                <c:pt idx="0">
                  <c:v>-200</c:v>
                </c:pt>
                <c:pt idx="1">
                  <c:v>-190</c:v>
                </c:pt>
                <c:pt idx="2">
                  <c:v>-180</c:v>
                </c:pt>
                <c:pt idx="3">
                  <c:v>-170</c:v>
                </c:pt>
                <c:pt idx="4">
                  <c:v>-160</c:v>
                </c:pt>
                <c:pt idx="5">
                  <c:v>-150</c:v>
                </c:pt>
                <c:pt idx="6">
                  <c:v>-140</c:v>
                </c:pt>
                <c:pt idx="7">
                  <c:v>-130</c:v>
                </c:pt>
                <c:pt idx="8">
                  <c:v>-120</c:v>
                </c:pt>
                <c:pt idx="9">
                  <c:v>-110</c:v>
                </c:pt>
                <c:pt idx="10">
                  <c:v>-100</c:v>
                </c:pt>
                <c:pt idx="11">
                  <c:v>-90</c:v>
                </c:pt>
                <c:pt idx="12">
                  <c:v>-80</c:v>
                </c:pt>
                <c:pt idx="13">
                  <c:v>-70</c:v>
                </c:pt>
                <c:pt idx="14">
                  <c:v>-60</c:v>
                </c:pt>
                <c:pt idx="15">
                  <c:v>-50</c:v>
                </c:pt>
                <c:pt idx="16">
                  <c:v>-40</c:v>
                </c:pt>
                <c:pt idx="17">
                  <c:v>-30</c:v>
                </c:pt>
                <c:pt idx="18">
                  <c:v>-20</c:v>
                </c:pt>
                <c:pt idx="19">
                  <c:v>-10</c:v>
                </c:pt>
                <c:pt idx="20">
                  <c:v>0</c:v>
                </c:pt>
                <c:pt idx="21">
                  <c:v>10</c:v>
                </c:pt>
                <c:pt idx="22">
                  <c:v>20</c:v>
                </c:pt>
                <c:pt idx="23">
                  <c:v>30</c:v>
                </c:pt>
                <c:pt idx="24">
                  <c:v>40</c:v>
                </c:pt>
                <c:pt idx="25">
                  <c:v>50</c:v>
                </c:pt>
                <c:pt idx="26">
                  <c:v>60</c:v>
                </c:pt>
                <c:pt idx="27">
                  <c:v>70</c:v>
                </c:pt>
                <c:pt idx="28">
                  <c:v>80</c:v>
                </c:pt>
                <c:pt idx="29">
                  <c:v>90</c:v>
                </c:pt>
                <c:pt idx="30">
                  <c:v>100</c:v>
                </c:pt>
                <c:pt idx="31">
                  <c:v>110</c:v>
                </c:pt>
                <c:pt idx="32">
                  <c:v>120</c:v>
                </c:pt>
                <c:pt idx="33">
                  <c:v>130</c:v>
                </c:pt>
                <c:pt idx="34">
                  <c:v>140</c:v>
                </c:pt>
                <c:pt idx="35">
                  <c:v>150</c:v>
                </c:pt>
                <c:pt idx="36">
                  <c:v>160</c:v>
                </c:pt>
                <c:pt idx="37">
                  <c:v>170</c:v>
                </c:pt>
                <c:pt idx="38">
                  <c:v>180</c:v>
                </c:pt>
                <c:pt idx="39">
                  <c:v>190</c:v>
                </c:pt>
                <c:pt idx="40">
                  <c:v>200</c:v>
                </c:pt>
                <c:pt idx="41">
                  <c:v>210</c:v>
                </c:pt>
                <c:pt idx="42">
                  <c:v>220</c:v>
                </c:pt>
                <c:pt idx="43">
                  <c:v>230</c:v>
                </c:pt>
                <c:pt idx="44">
                  <c:v>240</c:v>
                </c:pt>
                <c:pt idx="45">
                  <c:v>250</c:v>
                </c:pt>
                <c:pt idx="46">
                  <c:v>260</c:v>
                </c:pt>
                <c:pt idx="47">
                  <c:v>270</c:v>
                </c:pt>
                <c:pt idx="48">
                  <c:v>280</c:v>
                </c:pt>
                <c:pt idx="49">
                  <c:v>290</c:v>
                </c:pt>
                <c:pt idx="50">
                  <c:v>300</c:v>
                </c:pt>
              </c:numCache>
            </c:numRef>
          </c:xVal>
          <c:yVal>
            <c:numRef>
              <c:f>AHT!$U$2:$U$100</c:f>
              <c:numCache>
                <c:formatCode>0.00</c:formatCode>
                <c:ptCount val="99"/>
                <c:pt idx="0">
                  <c:v>72.60126046554096</c:v>
                </c:pt>
                <c:pt idx="1">
                  <c:v>72.601676386233436</c:v>
                </c:pt>
                <c:pt idx="2">
                  <c:v>72.601995709854606</c:v>
                </c:pt>
                <c:pt idx="3">
                  <c:v>72.602223118813058</c:v>
                </c:pt>
                <c:pt idx="4">
                  <c:v>72.60236913943109</c:v>
                </c:pt>
                <c:pt idx="5">
                  <c:v>72.602450073871807</c:v>
                </c:pt>
                <c:pt idx="6">
                  <c:v>72.60248618493651</c:v>
                </c:pt>
                <c:pt idx="7">
                  <c:v>72.602497713413527</c:v>
                </c:pt>
                <c:pt idx="8">
                  <c:v>72.602499846028749</c:v>
                </c:pt>
                <c:pt idx="9">
                  <c:v>72.602499998283946</c:v>
                </c:pt>
                <c:pt idx="10">
                  <c:v>72.602499999999779</c:v>
                </c:pt>
                <c:pt idx="11">
                  <c:v>72.602499999999992</c:v>
                </c:pt>
                <c:pt idx="12">
                  <c:v>2</c:v>
                </c:pt>
                <c:pt idx="13">
                  <c:v>2</c:v>
                </c:pt>
                <c:pt idx="14">
                  <c:v>2.0000000858980371</c:v>
                </c:pt>
                <c:pt idx="15">
                  <c:v>2.0006915196138664</c:v>
                </c:pt>
                <c:pt idx="16">
                  <c:v>2.0619926412911909</c:v>
                </c:pt>
                <c:pt idx="17">
                  <c:v>2.9095739774045128</c:v>
                </c:pt>
                <c:pt idx="18">
                  <c:v>7.1602720405347355</c:v>
                </c:pt>
                <c:pt idx="19">
                  <c:v>17.65737159853283</c:v>
                </c:pt>
                <c:pt idx="20">
                  <c:v>32.186961419216807</c:v>
                </c:pt>
                <c:pt idx="21">
                  <c:v>45.241027369706366</c:v>
                </c:pt>
                <c:pt idx="22">
                  <c:v>54.398279593211178</c:v>
                </c:pt>
                <c:pt idx="23">
                  <c:v>60.2182633525263</c:v>
                </c:pt>
                <c:pt idx="24">
                  <c:v>63.859175953898848</c:v>
                </c:pt>
                <c:pt idx="25">
                  <c:v>66.183441123188032</c:v>
                </c:pt>
                <c:pt idx="26">
                  <c:v>67.716439007892788</c:v>
                </c:pt>
                <c:pt idx="27">
                  <c:v>68.763409620278651</c:v>
                </c:pt>
                <c:pt idx="28">
                  <c:v>69.502484047225138</c:v>
                </c:pt>
                <c:pt idx="29">
                  <c:v>70.040075772498682</c:v>
                </c:pt>
                <c:pt idx="30">
                  <c:v>70.441663183917228</c:v>
                </c:pt>
                <c:pt idx="31">
                  <c:v>70.748784116889482</c:v>
                </c:pt>
                <c:pt idx="32">
                  <c:v>70.988571242160077</c:v>
                </c:pt>
                <c:pt idx="33">
                  <c:v>71.179236034886429</c:v>
                </c:pt>
                <c:pt idx="34">
                  <c:v>71.333310089278484</c:v>
                </c:pt>
                <c:pt idx="35">
                  <c:v>71.459614040540359</c:v>
                </c:pt>
                <c:pt idx="36">
                  <c:v>71.564485368087105</c:v>
                </c:pt>
                <c:pt idx="37">
                  <c:v>71.652563141160044</c:v>
                </c:pt>
                <c:pt idx="38">
                  <c:v>71.727301202653436</c:v>
                </c:pt>
                <c:pt idx="39">
                  <c:v>71.791310945518191</c:v>
                </c:pt>
                <c:pt idx="40">
                  <c:v>71.846594782581519</c:v>
                </c:pt>
                <c:pt idx="41">
                  <c:v>71.894708055894952</c:v>
                </c:pt>
                <c:pt idx="42">
                  <c:v>71.936873200780241</c:v>
                </c:pt>
                <c:pt idx="43">
                  <c:v>71.974061489189836</c:v>
                </c:pt>
                <c:pt idx="44">
                  <c:v>72.007052396305582</c:v>
                </c:pt>
                <c:pt idx="45">
                  <c:v>72.036477286958515</c:v>
                </c:pt>
                <c:pt idx="46">
                  <c:v>72.062851958526736</c:v>
                </c:pt>
                <c:pt idx="47">
                  <c:v>72.08660115982957</c:v>
                </c:pt>
                <c:pt idx="48">
                  <c:v>72.108077261126681</c:v>
                </c:pt>
                <c:pt idx="49">
                  <c:v>72.127574611695167</c:v>
                </c:pt>
                <c:pt idx="50">
                  <c:v>72.145340683639162</c:v>
                </c:pt>
                <c:pt idx="55" formatCode="General">
                  <c:v>-1.6448536269514726</c:v>
                </c:pt>
                <c:pt idx="56" formatCode="General">
                  <c:v>1.6448536269514715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B88-4FE5-AEE8-82A292B91F63}"/>
            </c:ext>
          </c:extLst>
        </c:ser>
        <c:ser>
          <c:idx val="4"/>
          <c:order val="3"/>
          <c:tx>
            <c:v>BUR</c:v>
          </c:tx>
          <c:spPr>
            <a:ln w="19050">
              <a:solidFill>
                <a:srgbClr val="0070C0"/>
              </a:solidFill>
              <a:prstDash val="lgDash"/>
            </a:ln>
          </c:spPr>
          <c:marker>
            <c:symbol val="none"/>
          </c:marker>
          <c:xVal>
            <c:numRef>
              <c:f>BUR!$U$2:$U$100</c:f>
              <c:numCache>
                <c:formatCode>General</c:formatCode>
                <c:ptCount val="99"/>
                <c:pt idx="0">
                  <c:v>-100</c:v>
                </c:pt>
                <c:pt idx="1">
                  <c:v>-90</c:v>
                </c:pt>
                <c:pt idx="2">
                  <c:v>-80</c:v>
                </c:pt>
                <c:pt idx="3">
                  <c:v>-70</c:v>
                </c:pt>
                <c:pt idx="4">
                  <c:v>-60</c:v>
                </c:pt>
                <c:pt idx="5">
                  <c:v>-50</c:v>
                </c:pt>
                <c:pt idx="6">
                  <c:v>-40</c:v>
                </c:pt>
                <c:pt idx="7">
                  <c:v>-30</c:v>
                </c:pt>
                <c:pt idx="8">
                  <c:v>-20</c:v>
                </c:pt>
                <c:pt idx="9">
                  <c:v>-10</c:v>
                </c:pt>
                <c:pt idx="10">
                  <c:v>0</c:v>
                </c:pt>
                <c:pt idx="11">
                  <c:v>10</c:v>
                </c:pt>
                <c:pt idx="12">
                  <c:v>20</c:v>
                </c:pt>
                <c:pt idx="13">
                  <c:v>30</c:v>
                </c:pt>
                <c:pt idx="14">
                  <c:v>40</c:v>
                </c:pt>
                <c:pt idx="15">
                  <c:v>50</c:v>
                </c:pt>
                <c:pt idx="16">
                  <c:v>60</c:v>
                </c:pt>
                <c:pt idx="17">
                  <c:v>70</c:v>
                </c:pt>
                <c:pt idx="18">
                  <c:v>80</c:v>
                </c:pt>
                <c:pt idx="19">
                  <c:v>90</c:v>
                </c:pt>
                <c:pt idx="20">
                  <c:v>100</c:v>
                </c:pt>
                <c:pt idx="21">
                  <c:v>110</c:v>
                </c:pt>
                <c:pt idx="22">
                  <c:v>120</c:v>
                </c:pt>
                <c:pt idx="23">
                  <c:v>130</c:v>
                </c:pt>
                <c:pt idx="24">
                  <c:v>140</c:v>
                </c:pt>
                <c:pt idx="25">
                  <c:v>150</c:v>
                </c:pt>
                <c:pt idx="26">
                  <c:v>160</c:v>
                </c:pt>
                <c:pt idx="27">
                  <c:v>170</c:v>
                </c:pt>
                <c:pt idx="28">
                  <c:v>180</c:v>
                </c:pt>
                <c:pt idx="29">
                  <c:v>190</c:v>
                </c:pt>
                <c:pt idx="30">
                  <c:v>200</c:v>
                </c:pt>
                <c:pt idx="31">
                  <c:v>210</c:v>
                </c:pt>
                <c:pt idx="32">
                  <c:v>220</c:v>
                </c:pt>
                <c:pt idx="33">
                  <c:v>230</c:v>
                </c:pt>
                <c:pt idx="34">
                  <c:v>240</c:v>
                </c:pt>
                <c:pt idx="35">
                  <c:v>250</c:v>
                </c:pt>
                <c:pt idx="36">
                  <c:v>260</c:v>
                </c:pt>
                <c:pt idx="37">
                  <c:v>270</c:v>
                </c:pt>
                <c:pt idx="38">
                  <c:v>280</c:v>
                </c:pt>
                <c:pt idx="39">
                  <c:v>290</c:v>
                </c:pt>
                <c:pt idx="40">
                  <c:v>300</c:v>
                </c:pt>
                <c:pt idx="41">
                  <c:v>310</c:v>
                </c:pt>
                <c:pt idx="42">
                  <c:v>320</c:v>
                </c:pt>
                <c:pt idx="43">
                  <c:v>330</c:v>
                </c:pt>
                <c:pt idx="44">
                  <c:v>340</c:v>
                </c:pt>
                <c:pt idx="45">
                  <c:v>350</c:v>
                </c:pt>
                <c:pt idx="46">
                  <c:v>360</c:v>
                </c:pt>
                <c:pt idx="47">
                  <c:v>370</c:v>
                </c:pt>
                <c:pt idx="48">
                  <c:v>380</c:v>
                </c:pt>
                <c:pt idx="49">
                  <c:v>390</c:v>
                </c:pt>
                <c:pt idx="50">
                  <c:v>400</c:v>
                </c:pt>
              </c:numCache>
            </c:numRef>
          </c:xVal>
          <c:yVal>
            <c:numRef>
              <c:f>BUR!$W$2:$W$100</c:f>
              <c:numCache>
                <c:formatCode>0.00</c:formatCode>
                <c:ptCount val="99"/>
                <c:pt idx="0">
                  <c:v>2.0058225445408375</c:v>
                </c:pt>
                <c:pt idx="1">
                  <c:v>2.0148466643078482</c:v>
                </c:pt>
                <c:pt idx="2">
                  <c:v>2.0377448195241379</c:v>
                </c:pt>
                <c:pt idx="3">
                  <c:v>2.0954560611504673</c:v>
                </c:pt>
                <c:pt idx="4">
                  <c:v>2.2391842458478894</c:v>
                </c:pt>
                <c:pt idx="5">
                  <c:v>2.5897632937835322</c:v>
                </c:pt>
                <c:pt idx="6">
                  <c:v>3.4149359597180853</c:v>
                </c:pt>
                <c:pt idx="7">
                  <c:v>5.2454750520474622</c:v>
                </c:pt>
                <c:pt idx="8">
                  <c:v>8.9434003655064025</c:v>
                </c:pt>
                <c:pt idx="9">
                  <c:v>15.456185575624573</c:v>
                </c:pt>
                <c:pt idx="10">
                  <c:v>25.028264254552816</c:v>
                </c:pt>
                <c:pt idx="11">
                  <c:v>36.441729797583697</c:v>
                </c:pt>
                <c:pt idx="12">
                  <c:v>47.488107448993567</c:v>
                </c:pt>
                <c:pt idx="13">
                  <c:v>56.420952833878857</c:v>
                </c:pt>
                <c:pt idx="14">
                  <c:v>62.727641067953741</c:v>
                </c:pt>
                <c:pt idx="15">
                  <c:v>66.787137092378174</c:v>
                </c:pt>
                <c:pt idx="16">
                  <c:v>69.251940119700663</c:v>
                </c:pt>
                <c:pt idx="17">
                  <c:v>70.696848378475835</c:v>
                </c:pt>
                <c:pt idx="18">
                  <c:v>71.526702211099916</c:v>
                </c:pt>
                <c:pt idx="19">
                  <c:v>71.997751934745295</c:v>
                </c:pt>
                <c:pt idx="20">
                  <c:v>72.263361243212628</c:v>
                </c:pt>
                <c:pt idx="21">
                  <c:v>72.41256931338539</c:v>
                </c:pt>
                <c:pt idx="22">
                  <c:v>72.496211901467277</c:v>
                </c:pt>
                <c:pt idx="23">
                  <c:v>72.543044735414284</c:v>
                </c:pt>
                <c:pt idx="24">
                  <c:v>72.569249887194118</c:v>
                </c:pt>
                <c:pt idx="25">
                  <c:v>72.583907474530278</c:v>
                </c:pt>
                <c:pt idx="26">
                  <c:v>72.592104354406956</c:v>
                </c:pt>
                <c:pt idx="27">
                  <c:v>72.596687719703567</c:v>
                </c:pt>
                <c:pt idx="28">
                  <c:v>72.599250387527732</c:v>
                </c:pt>
                <c:pt idx="29">
                  <c:v>72.600683183897857</c:v>
                </c:pt>
                <c:pt idx="30">
                  <c:v>72.60148424908445</c:v>
                </c:pt>
                <c:pt idx="31">
                  <c:v>72.601932113275709</c:v>
                </c:pt>
                <c:pt idx="32">
                  <c:v>72.602182506216209</c:v>
                </c:pt>
                <c:pt idx="33">
                  <c:v>72.602322495982264</c:v>
                </c:pt>
                <c:pt idx="34">
                  <c:v>72.602400761351475</c:v>
                </c:pt>
                <c:pt idx="35">
                  <c:v>72.602444517844773</c:v>
                </c:pt>
                <c:pt idx="36">
                  <c:v>72.60246898114886</c:v>
                </c:pt>
                <c:pt idx="37">
                  <c:v>72.60248265804556</c:v>
                </c:pt>
                <c:pt idx="38">
                  <c:v>72.602490304497053</c:v>
                </c:pt>
                <c:pt idx="39">
                  <c:v>72.602494579459062</c:v>
                </c:pt>
                <c:pt idx="40">
                  <c:v>72.602496969495704</c:v>
                </c:pt>
                <c:pt idx="41">
                  <c:v>72.602498305712231</c:v>
                </c:pt>
                <c:pt idx="42">
                  <c:v>72.602499052761274</c:v>
                </c:pt>
                <c:pt idx="43">
                  <c:v>72.602499470419829</c:v>
                </c:pt>
                <c:pt idx="44">
                  <c:v>72.602499703923471</c:v>
                </c:pt>
                <c:pt idx="45">
                  <c:v>72.60249983447018</c:v>
                </c:pt>
                <c:pt idx="46">
                  <c:v>72.602499907455936</c:v>
                </c:pt>
                <c:pt idx="47">
                  <c:v>72.602499948260672</c:v>
                </c:pt>
                <c:pt idx="48">
                  <c:v>72.602499971073669</c:v>
                </c:pt>
                <c:pt idx="49">
                  <c:v>72.60249998382794</c:v>
                </c:pt>
                <c:pt idx="50">
                  <c:v>72.602499990958535</c:v>
                </c:pt>
                <c:pt idx="55" formatCode="General">
                  <c:v>-1.6448536269514726</c:v>
                </c:pt>
                <c:pt idx="56" formatCode="General">
                  <c:v>1.6448536269514715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B88-4FE5-AEE8-82A292B91F63}"/>
            </c:ext>
          </c:extLst>
        </c:ser>
        <c:ser>
          <c:idx val="5"/>
          <c:order val="4"/>
          <c:tx>
            <c:v>ACT</c:v>
          </c:tx>
          <c:spPr>
            <a:ln w="19050">
              <a:solidFill>
                <a:srgbClr val="00B050"/>
              </a:solidFill>
              <a:prstDash val="dashDot"/>
            </a:ln>
          </c:spPr>
          <c:marker>
            <c:symbol val="none"/>
          </c:marker>
          <c:xVal>
            <c:numRef>
              <c:f>ACT!$T$2:$T$100</c:f>
              <c:numCache>
                <c:formatCode>General</c:formatCode>
                <c:ptCount val="99"/>
                <c:pt idx="0">
                  <c:v>-100</c:v>
                </c:pt>
                <c:pt idx="1">
                  <c:v>-90</c:v>
                </c:pt>
                <c:pt idx="2">
                  <c:v>-80</c:v>
                </c:pt>
                <c:pt idx="3">
                  <c:v>-70</c:v>
                </c:pt>
                <c:pt idx="4">
                  <c:v>-60</c:v>
                </c:pt>
                <c:pt idx="5">
                  <c:v>-50</c:v>
                </c:pt>
                <c:pt idx="6">
                  <c:v>-40</c:v>
                </c:pt>
                <c:pt idx="7">
                  <c:v>-30</c:v>
                </c:pt>
                <c:pt idx="8">
                  <c:v>-20</c:v>
                </c:pt>
                <c:pt idx="9">
                  <c:v>-10</c:v>
                </c:pt>
                <c:pt idx="10">
                  <c:v>0</c:v>
                </c:pt>
                <c:pt idx="11">
                  <c:v>10</c:v>
                </c:pt>
                <c:pt idx="12">
                  <c:v>20</c:v>
                </c:pt>
                <c:pt idx="13">
                  <c:v>30</c:v>
                </c:pt>
                <c:pt idx="14">
                  <c:v>40</c:v>
                </c:pt>
                <c:pt idx="15">
                  <c:v>50</c:v>
                </c:pt>
                <c:pt idx="16">
                  <c:v>60</c:v>
                </c:pt>
                <c:pt idx="17">
                  <c:v>70</c:v>
                </c:pt>
                <c:pt idx="18">
                  <c:v>80</c:v>
                </c:pt>
                <c:pt idx="19">
                  <c:v>90</c:v>
                </c:pt>
                <c:pt idx="20">
                  <c:v>100</c:v>
                </c:pt>
                <c:pt idx="21">
                  <c:v>110</c:v>
                </c:pt>
                <c:pt idx="22">
                  <c:v>120</c:v>
                </c:pt>
                <c:pt idx="23">
                  <c:v>130</c:v>
                </c:pt>
                <c:pt idx="24">
                  <c:v>140</c:v>
                </c:pt>
                <c:pt idx="25">
                  <c:v>150</c:v>
                </c:pt>
                <c:pt idx="26">
                  <c:v>160</c:v>
                </c:pt>
                <c:pt idx="27">
                  <c:v>170</c:v>
                </c:pt>
                <c:pt idx="28">
                  <c:v>180</c:v>
                </c:pt>
                <c:pt idx="29">
                  <c:v>190</c:v>
                </c:pt>
                <c:pt idx="30">
                  <c:v>200</c:v>
                </c:pt>
                <c:pt idx="31">
                  <c:v>210</c:v>
                </c:pt>
                <c:pt idx="32">
                  <c:v>220</c:v>
                </c:pt>
                <c:pt idx="33">
                  <c:v>230</c:v>
                </c:pt>
                <c:pt idx="34">
                  <c:v>240</c:v>
                </c:pt>
                <c:pt idx="35">
                  <c:v>250</c:v>
                </c:pt>
                <c:pt idx="36">
                  <c:v>260</c:v>
                </c:pt>
                <c:pt idx="37">
                  <c:v>270</c:v>
                </c:pt>
                <c:pt idx="38">
                  <c:v>280</c:v>
                </c:pt>
                <c:pt idx="39">
                  <c:v>290</c:v>
                </c:pt>
                <c:pt idx="40">
                  <c:v>300</c:v>
                </c:pt>
                <c:pt idx="41">
                  <c:v>310</c:v>
                </c:pt>
                <c:pt idx="42">
                  <c:v>320</c:v>
                </c:pt>
                <c:pt idx="43">
                  <c:v>330</c:v>
                </c:pt>
                <c:pt idx="44">
                  <c:v>340</c:v>
                </c:pt>
                <c:pt idx="45">
                  <c:v>350</c:v>
                </c:pt>
                <c:pt idx="46">
                  <c:v>360</c:v>
                </c:pt>
                <c:pt idx="47">
                  <c:v>370</c:v>
                </c:pt>
                <c:pt idx="48">
                  <c:v>380</c:v>
                </c:pt>
                <c:pt idx="49">
                  <c:v>390</c:v>
                </c:pt>
                <c:pt idx="50">
                  <c:v>400</c:v>
                </c:pt>
              </c:numCache>
            </c:numRef>
          </c:xVal>
          <c:yVal>
            <c:numRef>
              <c:f>ACT!$U$2:$U$100</c:f>
              <c:numCache>
                <c:formatCode>0.00</c:formatCode>
                <c:ptCount val="99"/>
                <c:pt idx="0">
                  <c:v>4.6407241550455467</c:v>
                </c:pt>
                <c:pt idx="1">
                  <c:v>4.8991206876203321</c:v>
                </c:pt>
                <c:pt idx="2">
                  <c:v>5.2131886315417475</c:v>
                </c:pt>
                <c:pt idx="3">
                  <c:v>5.6029174340278338</c:v>
                </c:pt>
                <c:pt idx="4">
                  <c:v>6.0990438494677441</c:v>
                </c:pt>
                <c:pt idx="5">
                  <c:v>6.7512649538026217</c:v>
                </c:pt>
                <c:pt idx="6">
                  <c:v>7.6451342939850271</c:v>
                </c:pt>
                <c:pt idx="7">
                  <c:v>8.9401486309551572</c:v>
                </c:pt>
                <c:pt idx="8">
                  <c:v>10.965603610303283</c:v>
                </c:pt>
                <c:pt idx="9">
                  <c:v>14.491734743221034</c:v>
                </c:pt>
                <c:pt idx="10">
                  <c:v>21.501624064486251</c:v>
                </c:pt>
                <c:pt idx="11">
                  <c:v>35.392825371864163</c:v>
                </c:pt>
                <c:pt idx="12">
                  <c:v>50.679438246134204</c:v>
                </c:pt>
                <c:pt idx="13">
                  <c:v>58.95850245244587</c:v>
                </c:pt>
                <c:pt idx="14">
                  <c:v>63.022280892049466</c:v>
                </c:pt>
                <c:pt idx="15">
                  <c:v>65.290634059468175</c:v>
                </c:pt>
                <c:pt idx="16">
                  <c:v>66.710895729483269</c:v>
                </c:pt>
                <c:pt idx="17">
                  <c:v>67.676660434251133</c:v>
                </c:pt>
                <c:pt idx="18">
                  <c:v>68.373635934409762</c:v>
                </c:pt>
                <c:pt idx="19">
                  <c:v>68.899397560275474</c:v>
                </c:pt>
                <c:pt idx="20">
                  <c:v>69.309718406759913</c:v>
                </c:pt>
                <c:pt idx="21">
                  <c:v>69.638654948369435</c:v>
                </c:pt>
                <c:pt idx="22">
                  <c:v>69.908128222019442</c:v>
                </c:pt>
                <c:pt idx="23">
                  <c:v>70.132865415744078</c:v>
                </c:pt>
                <c:pt idx="24">
                  <c:v>70.323117185440026</c:v>
                </c:pt>
                <c:pt idx="25">
                  <c:v>70.486233498544834</c:v>
                </c:pt>
                <c:pt idx="26">
                  <c:v>70.627619303981973</c:v>
                </c:pt>
                <c:pt idx="27">
                  <c:v>70.751336581764775</c:v>
                </c:pt>
                <c:pt idx="28">
                  <c:v>70.860496247773867</c:v>
                </c:pt>
                <c:pt idx="29">
                  <c:v>70.957520630071656</c:v>
                </c:pt>
                <c:pt idx="30">
                  <c:v>71.044323703048121</c:v>
                </c:pt>
                <c:pt idx="31">
                  <c:v>71.122437607706061</c:v>
                </c:pt>
                <c:pt idx="32">
                  <c:v>71.19310322584667</c:v>
                </c:pt>
                <c:pt idx="33">
                  <c:v>71.257336170205434</c:v>
                </c:pt>
                <c:pt idx="34">
                  <c:v>71.315975630005838</c:v>
                </c:pt>
                <c:pt idx="35">
                  <c:v>71.369721047716084</c:v>
                </c:pt>
                <c:pt idx="36">
                  <c:v>71.419160019628691</c:v>
                </c:pt>
                <c:pt idx="37">
                  <c:v>71.464789774237659</c:v>
                </c:pt>
                <c:pt idx="38">
                  <c:v>71.507033887997778</c:v>
                </c:pt>
                <c:pt idx="39">
                  <c:v>71.546255425734898</c:v>
                </c:pt>
                <c:pt idx="40">
                  <c:v>71.582767366583539</c:v>
                </c:pt>
                <c:pt idx="41">
                  <c:v>71.616840947462123</c:v>
                </c:pt>
                <c:pt idx="42">
                  <c:v>71.648712393437577</c:v>
                </c:pt>
                <c:pt idx="43">
                  <c:v>71.678588387273777</c:v>
                </c:pt>
                <c:pt idx="44">
                  <c:v>71.706650545234282</c:v>
                </c:pt>
                <c:pt idx="45">
                  <c:v>71.733059103487335</c:v>
                </c:pt>
                <c:pt idx="46">
                  <c:v>71.757955972830018</c:v>
                </c:pt>
                <c:pt idx="47">
                  <c:v>71.781467284451367</c:v>
                </c:pt>
                <c:pt idx="48">
                  <c:v>71.803705522953834</c:v>
                </c:pt>
                <c:pt idx="49">
                  <c:v>71.824771322618616</c:v>
                </c:pt>
                <c:pt idx="50">
                  <c:v>71.844754987328812</c:v>
                </c:pt>
                <c:pt idx="55" formatCode="General">
                  <c:v>-1.6448536269514726</c:v>
                </c:pt>
                <c:pt idx="56" formatCode="General">
                  <c:v>1.6448536269514715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5B88-4FE5-AEE8-82A292B91F63}"/>
            </c:ext>
          </c:extLst>
        </c:ser>
        <c:ser>
          <c:idx val="6"/>
          <c:order val="5"/>
          <c:tx>
            <c:v>KHT</c:v>
          </c:tx>
          <c:spPr>
            <a:ln w="19050">
              <a:solidFill>
                <a:srgbClr val="7030A0"/>
              </a:solidFill>
              <a:prstDash val="sysDash"/>
            </a:ln>
          </c:spPr>
          <c:marker>
            <c:symbol val="none"/>
          </c:marker>
          <c:xVal>
            <c:numRef>
              <c:f>KHT!$V$2:$V$100</c:f>
              <c:numCache>
                <c:formatCode>General</c:formatCode>
                <c:ptCount val="99"/>
                <c:pt idx="0">
                  <c:v>-100</c:v>
                </c:pt>
                <c:pt idx="1">
                  <c:v>-90</c:v>
                </c:pt>
                <c:pt idx="2">
                  <c:v>-80</c:v>
                </c:pt>
                <c:pt idx="3">
                  <c:v>-70</c:v>
                </c:pt>
                <c:pt idx="4">
                  <c:v>-60</c:v>
                </c:pt>
                <c:pt idx="5">
                  <c:v>-50</c:v>
                </c:pt>
                <c:pt idx="6">
                  <c:v>-40</c:v>
                </c:pt>
                <c:pt idx="7">
                  <c:v>-30</c:v>
                </c:pt>
                <c:pt idx="8">
                  <c:v>-20</c:v>
                </c:pt>
                <c:pt idx="9">
                  <c:v>-10</c:v>
                </c:pt>
                <c:pt idx="10">
                  <c:v>0</c:v>
                </c:pt>
                <c:pt idx="11">
                  <c:v>10</c:v>
                </c:pt>
                <c:pt idx="12">
                  <c:v>20</c:v>
                </c:pt>
                <c:pt idx="13">
                  <c:v>30</c:v>
                </c:pt>
                <c:pt idx="14">
                  <c:v>40</c:v>
                </c:pt>
                <c:pt idx="15">
                  <c:v>50</c:v>
                </c:pt>
                <c:pt idx="16">
                  <c:v>60</c:v>
                </c:pt>
                <c:pt idx="17">
                  <c:v>70</c:v>
                </c:pt>
                <c:pt idx="18">
                  <c:v>80</c:v>
                </c:pt>
                <c:pt idx="19">
                  <c:v>90</c:v>
                </c:pt>
                <c:pt idx="20">
                  <c:v>100</c:v>
                </c:pt>
                <c:pt idx="21">
                  <c:v>110</c:v>
                </c:pt>
                <c:pt idx="22">
                  <c:v>120</c:v>
                </c:pt>
                <c:pt idx="23">
                  <c:v>130</c:v>
                </c:pt>
                <c:pt idx="24">
                  <c:v>140</c:v>
                </c:pt>
                <c:pt idx="25">
                  <c:v>150</c:v>
                </c:pt>
                <c:pt idx="26">
                  <c:v>160</c:v>
                </c:pt>
                <c:pt idx="27">
                  <c:v>170</c:v>
                </c:pt>
                <c:pt idx="28">
                  <c:v>180</c:v>
                </c:pt>
                <c:pt idx="29">
                  <c:v>190</c:v>
                </c:pt>
                <c:pt idx="30">
                  <c:v>200</c:v>
                </c:pt>
                <c:pt idx="31">
                  <c:v>210</c:v>
                </c:pt>
                <c:pt idx="32">
                  <c:v>220</c:v>
                </c:pt>
                <c:pt idx="33">
                  <c:v>230</c:v>
                </c:pt>
                <c:pt idx="34">
                  <c:v>240</c:v>
                </c:pt>
                <c:pt idx="35">
                  <c:v>250</c:v>
                </c:pt>
                <c:pt idx="36">
                  <c:v>260</c:v>
                </c:pt>
                <c:pt idx="37">
                  <c:v>270</c:v>
                </c:pt>
                <c:pt idx="38">
                  <c:v>280</c:v>
                </c:pt>
                <c:pt idx="39">
                  <c:v>290</c:v>
                </c:pt>
                <c:pt idx="40">
                  <c:v>300</c:v>
                </c:pt>
                <c:pt idx="41">
                  <c:v>310</c:v>
                </c:pt>
                <c:pt idx="42">
                  <c:v>320</c:v>
                </c:pt>
                <c:pt idx="43">
                  <c:v>330</c:v>
                </c:pt>
                <c:pt idx="44">
                  <c:v>340</c:v>
                </c:pt>
                <c:pt idx="45">
                  <c:v>350</c:v>
                </c:pt>
                <c:pt idx="46">
                  <c:v>360</c:v>
                </c:pt>
                <c:pt idx="47">
                  <c:v>370</c:v>
                </c:pt>
                <c:pt idx="48">
                  <c:v>380</c:v>
                </c:pt>
                <c:pt idx="49">
                  <c:v>390</c:v>
                </c:pt>
                <c:pt idx="50">
                  <c:v>400</c:v>
                </c:pt>
              </c:numCache>
            </c:numRef>
          </c:xVal>
          <c:yVal>
            <c:numRef>
              <c:f>KHT!$Y$2:$Y$100</c:f>
              <c:numCache>
                <c:formatCode>0.00</c:formatCode>
                <c:ptCount val="99"/>
                <c:pt idx="0">
                  <c:v>2.216673170946919</c:v>
                </c:pt>
                <c:pt idx="1">
                  <c:v>2.3425515367125405</c:v>
                </c:pt>
                <c:pt idx="2">
                  <c:v>2.5415601515928792</c:v>
                </c:pt>
                <c:pt idx="3">
                  <c:v>2.8561847382381478</c:v>
                </c:pt>
                <c:pt idx="4">
                  <c:v>3.3535935091158668</c:v>
                </c:pt>
                <c:pt idx="5">
                  <c:v>4.139976696724271</c:v>
                </c:pt>
                <c:pt idx="6">
                  <c:v>5.3832167720087085</c:v>
                </c:pt>
                <c:pt idx="7">
                  <c:v>7.3487291445378871</c:v>
                </c:pt>
                <c:pt idx="8">
                  <c:v>10.456124862683009</c:v>
                </c:pt>
                <c:pt idx="9">
                  <c:v>15.368792055269356</c:v>
                </c:pt>
                <c:pt idx="10">
                  <c:v>23.135520574648446</c:v>
                </c:pt>
                <c:pt idx="11">
                  <c:v>35.414404840362181</c:v>
                </c:pt>
                <c:pt idx="12">
                  <c:v>48.954812161729706</c:v>
                </c:pt>
                <c:pt idx="13">
                  <c:v>57.603190645244432</c:v>
                </c:pt>
                <c:pt idx="14">
                  <c:v>63.088703866596965</c:v>
                </c:pt>
                <c:pt idx="15">
                  <c:v>66.568067698671584</c:v>
                </c:pt>
                <c:pt idx="16">
                  <c:v>68.774966522436344</c:v>
                </c:pt>
                <c:pt idx="17">
                  <c:v>70.174763339727008</c:v>
                </c:pt>
                <c:pt idx="18">
                  <c:v>71.062629656296266</c:v>
                </c:pt>
                <c:pt idx="19">
                  <c:v>71.625787527753687</c:v>
                </c:pt>
                <c:pt idx="20">
                  <c:v>71.98298858636565</c:v>
                </c:pt>
                <c:pt idx="21">
                  <c:v>72.209554888179568</c:v>
                </c:pt>
                <c:pt idx="22">
                  <c:v>72.353261878626654</c:v>
                </c:pt>
                <c:pt idx="23">
                  <c:v>72.444412676154883</c:v>
                </c:pt>
                <c:pt idx="24">
                  <c:v>72.502228011819369</c:v>
                </c:pt>
                <c:pt idx="25">
                  <c:v>72.538899254733735</c:v>
                </c:pt>
                <c:pt idx="26">
                  <c:v>72.562159174293654</c:v>
                </c:pt>
                <c:pt idx="27">
                  <c:v>72.576912529100767</c:v>
                </c:pt>
                <c:pt idx="28">
                  <c:v>72.586270320622958</c:v>
                </c:pt>
                <c:pt idx="29">
                  <c:v>72.592205801963829</c:v>
                </c:pt>
                <c:pt idx="30">
                  <c:v>72.595970572600592</c:v>
                </c:pt>
                <c:pt idx="31">
                  <c:v>72.598358499903128</c:v>
                </c:pt>
                <c:pt idx="32">
                  <c:v>72.599873119876634</c:v>
                </c:pt>
                <c:pt idx="33">
                  <c:v>72.600833816486514</c:v>
                </c:pt>
                <c:pt idx="34">
                  <c:v>72.601443169322451</c:v>
                </c:pt>
                <c:pt idx="35">
                  <c:v>72.60182967102844</c:v>
                </c:pt>
                <c:pt idx="36">
                  <c:v>72.602074822211677</c:v>
                </c:pt>
                <c:pt idx="37">
                  <c:v>72.602230317263093</c:v>
                </c:pt>
                <c:pt idx="38">
                  <c:v>72.602328945018797</c:v>
                </c:pt>
                <c:pt idx="39">
                  <c:v>72.602391502856548</c:v>
                </c:pt>
                <c:pt idx="40">
                  <c:v>72.602431182184489</c:v>
                </c:pt>
                <c:pt idx="41">
                  <c:v>72.60245635007908</c:v>
                </c:pt>
                <c:pt idx="42">
                  <c:v>72.602472313628638</c:v>
                </c:pt>
                <c:pt idx="43">
                  <c:v>72.602482439025252</c:v>
                </c:pt>
                <c:pt idx="44">
                  <c:v>72.602488861384899</c:v>
                </c:pt>
                <c:pt idx="45">
                  <c:v>72.60249293497381</c:v>
                </c:pt>
                <c:pt idx="46">
                  <c:v>72.602495518779079</c:v>
                </c:pt>
                <c:pt idx="47">
                  <c:v>72.602497157640983</c:v>
                </c:pt>
                <c:pt idx="48">
                  <c:v>72.60249819714204</c:v>
                </c:pt>
                <c:pt idx="49">
                  <c:v>72.602498856479144</c:v>
                </c:pt>
                <c:pt idx="50">
                  <c:v>72.602499274684973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5B88-4FE5-AEE8-82A292B91F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02140760"/>
        <c:axId val="1102143056"/>
      </c:scatterChart>
      <c:valAx>
        <c:axId val="1102140760"/>
        <c:scaling>
          <c:orientation val="minMax"/>
          <c:max val="200"/>
          <c:min val="-10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6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600" b="1"/>
                  <a:t>Temperature (</a:t>
                </a:r>
                <a:r>
                  <a:rPr lang="en-US" sz="1600" b="1">
                    <a:sym typeface="Symbol" panose="05050102010706020507" pitchFamily="18" charset="2"/>
                  </a:rPr>
                  <a:t>C)</a:t>
                </a:r>
                <a:endParaRPr lang="en-US" sz="1600" b="1"/>
              </a:p>
            </c:rich>
          </c:tx>
          <c:layout>
            <c:manualLayout>
              <c:xMode val="edge"/>
              <c:yMode val="edge"/>
              <c:x val="0.41774621358174219"/>
              <c:y val="0.94241449468154981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in"/>
        <c:minorTickMark val="in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2143056"/>
        <c:crosses val="autoZero"/>
        <c:crossBetween val="midCat"/>
      </c:valAx>
      <c:valAx>
        <c:axId val="1102143056"/>
        <c:scaling>
          <c:orientation val="minMax"/>
          <c:min val="0"/>
        </c:scaling>
        <c:delete val="0"/>
        <c:axPos val="l"/>
        <c:title>
          <c:tx>
            <c:strRef>
              <c:f>'Input data'!$M$1</c:f>
              <c:strCache>
                <c:ptCount val="1"/>
                <c:pt idx="0">
                  <c:v>KV (J)</c:v>
                </c:pt>
              </c:strCache>
            </c:strRef>
          </c:tx>
          <c:layout>
            <c:manualLayout>
              <c:xMode val="edge"/>
              <c:yMode val="edge"/>
              <c:x val="1.1707084835440478E-3"/>
              <c:y val="0.3961990983658896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6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0"/>
        <c:majorTickMark val="in"/>
        <c:minorTickMark val="in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2140760"/>
        <c:crossesAt val="-200"/>
        <c:crossBetween val="midCat"/>
      </c:valAx>
      <c:spPr>
        <a:noFill/>
        <a:ln>
          <a:solidFill>
            <a:schemeClr val="tx1"/>
          </a:solidFill>
        </a:ln>
        <a:effectLst/>
      </c:spPr>
    </c:plotArea>
    <c:legend>
      <c:legendPos val="r"/>
      <c:legendEntry>
        <c:idx val="0"/>
        <c:delete val="1"/>
      </c:legendEntry>
      <c:layout>
        <c:manualLayout>
          <c:xMode val="edge"/>
          <c:yMode val="edge"/>
          <c:x val="0.16262875749021938"/>
          <c:y val="8.3239051045573262E-2"/>
          <c:w val="0.17634345651458272"/>
          <c:h val="0.29450411102919066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  <a:effectLst>
          <a:outerShdw blurRad="50800" dist="38100" dir="8100000" algn="tr" rotWithShape="0">
            <a:prstClr val="black">
              <a:alpha val="40000"/>
            </a:prstClr>
          </a:outerShdw>
        </a:effectLst>
      </c:spPr>
      <c:txPr>
        <a:bodyPr/>
        <a:lstStyle/>
        <a:p>
          <a:pPr>
            <a:defRPr sz="1200"/>
          </a:pPr>
          <a:endParaRPr lang="en-US"/>
        </a:p>
      </c:txPr>
    </c:legend>
    <c:plotVisOnly val="1"/>
    <c:dispBlanksAs val="gap"/>
    <c:showDLblsOverMax val="0"/>
    <c:extLst/>
  </c:chart>
  <c:spPr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8991372176292738E-2"/>
          <c:y val="3.9625913087261634E-2"/>
          <c:w val="0.86819995575475017"/>
          <c:h val="0.83719359336909915"/>
        </c:manualLayout>
      </c:layout>
      <c:scatterChart>
        <c:scatterStyle val="lineMarker"/>
        <c:varyColors val="0"/>
        <c:ser>
          <c:idx val="0"/>
          <c:order val="0"/>
          <c:tx>
            <c:v>Data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7"/>
            <c:spPr>
              <a:solidFill>
                <a:schemeClr val="accent1"/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HT!$A$3:$A$32</c:f>
              <c:numCache>
                <c:formatCode>General</c:formatCode>
                <c:ptCount val="30"/>
                <c:pt idx="0">
                  <c:v>-80</c:v>
                </c:pt>
                <c:pt idx="1">
                  <c:v>-50</c:v>
                </c:pt>
                <c:pt idx="2">
                  <c:v>-35</c:v>
                </c:pt>
                <c:pt idx="3">
                  <c:v>-15</c:v>
                </c:pt>
                <c:pt idx="4">
                  <c:v>0</c:v>
                </c:pt>
                <c:pt idx="5">
                  <c:v>10</c:v>
                </c:pt>
                <c:pt idx="6">
                  <c:v>21</c:v>
                </c:pt>
                <c:pt idx="7">
                  <c:v>40</c:v>
                </c:pt>
                <c:pt idx="8">
                  <c:v>76</c:v>
                </c:pt>
                <c:pt idx="9">
                  <c:v>100</c:v>
                </c:pt>
                <c:pt idx="10">
                  <c:v>148</c:v>
                </c:pt>
                <c:pt idx="11">
                  <c:v>198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HT!$B$3:$B$32</c:f>
              <c:numCache>
                <c:formatCode>0.00</c:formatCode>
                <c:ptCount val="30"/>
                <c:pt idx="0">
                  <c:v>2.4</c:v>
                </c:pt>
                <c:pt idx="1">
                  <c:v>4.13</c:v>
                </c:pt>
                <c:pt idx="2">
                  <c:v>4.13</c:v>
                </c:pt>
                <c:pt idx="3">
                  <c:v>10.210000000000001</c:v>
                </c:pt>
                <c:pt idx="4">
                  <c:v>27.99</c:v>
                </c:pt>
                <c:pt idx="5">
                  <c:v>34.25</c:v>
                </c:pt>
                <c:pt idx="6">
                  <c:v>48.86</c:v>
                </c:pt>
                <c:pt idx="7">
                  <c:v>61.88</c:v>
                </c:pt>
                <c:pt idx="8">
                  <c:v>74.290000000000006</c:v>
                </c:pt>
                <c:pt idx="9">
                  <c:v>75.22</c:v>
                </c:pt>
                <c:pt idx="10">
                  <c:v>71.5</c:v>
                </c:pt>
                <c:pt idx="11">
                  <c:v>69.400000000000006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F7C-4FFB-994B-B34C6EEA76FA}"/>
            </c:ext>
          </c:extLst>
        </c:ser>
        <c:ser>
          <c:idx val="1"/>
          <c:order val="1"/>
          <c:tx>
            <c:v>HT</c:v>
          </c:tx>
          <c:spPr>
            <a:ln w="190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HT!$T$2:$T$100</c:f>
              <c:numCache>
                <c:formatCode>General</c:formatCode>
                <c:ptCount val="99"/>
                <c:pt idx="0">
                  <c:v>-100</c:v>
                </c:pt>
                <c:pt idx="1">
                  <c:v>-90</c:v>
                </c:pt>
                <c:pt idx="2">
                  <c:v>-80</c:v>
                </c:pt>
                <c:pt idx="3">
                  <c:v>-70</c:v>
                </c:pt>
                <c:pt idx="4">
                  <c:v>-60</c:v>
                </c:pt>
                <c:pt idx="5">
                  <c:v>-50</c:v>
                </c:pt>
                <c:pt idx="6">
                  <c:v>-40</c:v>
                </c:pt>
                <c:pt idx="7">
                  <c:v>-30</c:v>
                </c:pt>
                <c:pt idx="8">
                  <c:v>-20</c:v>
                </c:pt>
                <c:pt idx="9">
                  <c:v>-10</c:v>
                </c:pt>
                <c:pt idx="10">
                  <c:v>0</c:v>
                </c:pt>
                <c:pt idx="11">
                  <c:v>10</c:v>
                </c:pt>
                <c:pt idx="12">
                  <c:v>20</c:v>
                </c:pt>
                <c:pt idx="13">
                  <c:v>30</c:v>
                </c:pt>
                <c:pt idx="14">
                  <c:v>40</c:v>
                </c:pt>
                <c:pt idx="15">
                  <c:v>50</c:v>
                </c:pt>
                <c:pt idx="16">
                  <c:v>60</c:v>
                </c:pt>
                <c:pt idx="17">
                  <c:v>70</c:v>
                </c:pt>
                <c:pt idx="18">
                  <c:v>80</c:v>
                </c:pt>
                <c:pt idx="19">
                  <c:v>90</c:v>
                </c:pt>
                <c:pt idx="20">
                  <c:v>100</c:v>
                </c:pt>
                <c:pt idx="21">
                  <c:v>110</c:v>
                </c:pt>
                <c:pt idx="22">
                  <c:v>120</c:v>
                </c:pt>
                <c:pt idx="23">
                  <c:v>130</c:v>
                </c:pt>
                <c:pt idx="24">
                  <c:v>140</c:v>
                </c:pt>
                <c:pt idx="25">
                  <c:v>150</c:v>
                </c:pt>
                <c:pt idx="26">
                  <c:v>160</c:v>
                </c:pt>
                <c:pt idx="27">
                  <c:v>170</c:v>
                </c:pt>
                <c:pt idx="28">
                  <c:v>180</c:v>
                </c:pt>
                <c:pt idx="29">
                  <c:v>190</c:v>
                </c:pt>
                <c:pt idx="30">
                  <c:v>200</c:v>
                </c:pt>
                <c:pt idx="31">
                  <c:v>210</c:v>
                </c:pt>
                <c:pt idx="32">
                  <c:v>220</c:v>
                </c:pt>
                <c:pt idx="33">
                  <c:v>230</c:v>
                </c:pt>
                <c:pt idx="34">
                  <c:v>240</c:v>
                </c:pt>
                <c:pt idx="35">
                  <c:v>250</c:v>
                </c:pt>
                <c:pt idx="36">
                  <c:v>260</c:v>
                </c:pt>
                <c:pt idx="37">
                  <c:v>270</c:v>
                </c:pt>
                <c:pt idx="38">
                  <c:v>280</c:v>
                </c:pt>
                <c:pt idx="39">
                  <c:v>290</c:v>
                </c:pt>
                <c:pt idx="40">
                  <c:v>300</c:v>
                </c:pt>
                <c:pt idx="41">
                  <c:v>310</c:v>
                </c:pt>
                <c:pt idx="42">
                  <c:v>320</c:v>
                </c:pt>
                <c:pt idx="43">
                  <c:v>330</c:v>
                </c:pt>
                <c:pt idx="44">
                  <c:v>340</c:v>
                </c:pt>
                <c:pt idx="45">
                  <c:v>350</c:v>
                </c:pt>
                <c:pt idx="46">
                  <c:v>360</c:v>
                </c:pt>
                <c:pt idx="47">
                  <c:v>370</c:v>
                </c:pt>
                <c:pt idx="48">
                  <c:v>380</c:v>
                </c:pt>
                <c:pt idx="49">
                  <c:v>390</c:v>
                </c:pt>
                <c:pt idx="50">
                  <c:v>400</c:v>
                </c:pt>
              </c:numCache>
            </c:numRef>
          </c:xVal>
          <c:yVal>
            <c:numRef>
              <c:f>HT!$U$2:$U$100</c:f>
              <c:numCache>
                <c:formatCode>0.00</c:formatCode>
                <c:ptCount val="99"/>
                <c:pt idx="0">
                  <c:v>2.0438700946325312</c:v>
                </c:pt>
                <c:pt idx="1">
                  <c:v>2.0851279040338753</c:v>
                </c:pt>
                <c:pt idx="2">
                  <c:v>2.165096000177769</c:v>
                </c:pt>
                <c:pt idx="3">
                  <c:v>2.3198444078267642</c:v>
                </c:pt>
                <c:pt idx="4">
                  <c:v>2.6183687926036114</c:v>
                </c:pt>
                <c:pt idx="5">
                  <c:v>3.1907979306856973</c:v>
                </c:pt>
                <c:pt idx="6">
                  <c:v>4.275896961138308</c:v>
                </c:pt>
                <c:pt idx="7">
                  <c:v>6.2886851838442972</c:v>
                </c:pt>
                <c:pt idx="8">
                  <c:v>9.8763688530092715</c:v>
                </c:pt>
                <c:pt idx="9">
                  <c:v>15.838984372016579</c:v>
                </c:pt>
                <c:pt idx="10">
                  <c:v>24.68314561057587</c:v>
                </c:pt>
                <c:pt idx="11">
                  <c:v>35.812589937272627</c:v>
                </c:pt>
                <c:pt idx="12">
                  <c:v>47.246606756427802</c:v>
                </c:pt>
                <c:pt idx="13">
                  <c:v>56.788975095547784</c:v>
                </c:pt>
                <c:pt idx="14">
                  <c:v>63.465391654649224</c:v>
                </c:pt>
                <c:pt idx="15">
                  <c:v>67.581372667688669</c:v>
                </c:pt>
                <c:pt idx="16">
                  <c:v>69.924029988055423</c:v>
                </c:pt>
                <c:pt idx="17">
                  <c:v>71.197119350089181</c:v>
                </c:pt>
                <c:pt idx="18">
                  <c:v>71.871614503804636</c:v>
                </c:pt>
                <c:pt idx="19">
                  <c:v>72.224163925418338</c:v>
                </c:pt>
                <c:pt idx="20">
                  <c:v>72.407133341109017</c:v>
                </c:pt>
                <c:pt idx="21">
                  <c:v>72.501742762725712</c:v>
                </c:pt>
                <c:pt idx="22">
                  <c:v>72.550569855012114</c:v>
                </c:pt>
                <c:pt idx="23">
                  <c:v>72.575744252623494</c:v>
                </c:pt>
                <c:pt idx="24">
                  <c:v>72.588717134432585</c:v>
                </c:pt>
                <c:pt idx="25">
                  <c:v>72.595400573801598</c:v>
                </c:pt>
                <c:pt idx="26">
                  <c:v>72.598843319307448</c:v>
                </c:pt>
                <c:pt idx="27">
                  <c:v>72.600616608708265</c:v>
                </c:pt>
                <c:pt idx="28">
                  <c:v>72.60152996191097</c:v>
                </c:pt>
                <c:pt idx="29">
                  <c:v>72.602000386353666</c:v>
                </c:pt>
                <c:pt idx="30">
                  <c:v>72.602242677125929</c:v>
                </c:pt>
                <c:pt idx="31">
                  <c:v>72.602367467688651</c:v>
                </c:pt>
                <c:pt idx="32">
                  <c:v>72.602431740236625</c:v>
                </c:pt>
                <c:pt idx="33">
                  <c:v>72.602464843341281</c:v>
                </c:pt>
                <c:pt idx="34">
                  <c:v>72.602481892841254</c:v>
                </c:pt>
                <c:pt idx="35">
                  <c:v>72.602490674052319</c:v>
                </c:pt>
                <c:pt idx="36">
                  <c:v>72.602495196745338</c:v>
                </c:pt>
                <c:pt idx="37">
                  <c:v>72.602497526122221</c:v>
                </c:pt>
                <c:pt idx="38">
                  <c:v>72.602498725849117</c:v>
                </c:pt>
                <c:pt idx="39">
                  <c:v>72.602499343758822</c:v>
                </c:pt>
                <c:pt idx="40">
                  <c:v>72.602499662008256</c:v>
                </c:pt>
                <c:pt idx="41">
                  <c:v>72.602499825920063</c:v>
                </c:pt>
                <c:pt idx="42">
                  <c:v>72.602499910341521</c:v>
                </c:pt>
                <c:pt idx="43">
                  <c:v>72.602499953822118</c:v>
                </c:pt>
                <c:pt idx="44">
                  <c:v>72.60249997621645</c:v>
                </c:pt>
                <c:pt idx="45">
                  <c:v>72.602499987750477</c:v>
                </c:pt>
                <c:pt idx="46">
                  <c:v>72.602499993690969</c:v>
                </c:pt>
                <c:pt idx="47">
                  <c:v>72.602499996750581</c:v>
                </c:pt>
                <c:pt idx="48">
                  <c:v>72.602499998326408</c:v>
                </c:pt>
                <c:pt idx="49">
                  <c:v>72.602499999138018</c:v>
                </c:pt>
                <c:pt idx="50">
                  <c:v>72.602499999556045</c:v>
                </c:pt>
                <c:pt idx="55" formatCode="General">
                  <c:v>-1.6448536269514726</c:v>
                </c:pt>
                <c:pt idx="56" formatCode="General">
                  <c:v>1.6448536269514715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F7C-4FFB-994B-B34C6EEA76FA}"/>
            </c:ext>
          </c:extLst>
        </c:ser>
        <c:ser>
          <c:idx val="2"/>
          <c:order val="2"/>
          <c:tx>
            <c:v>AHT</c:v>
          </c:tx>
          <c:spPr>
            <a:ln w="19050">
              <a:solidFill>
                <a:srgbClr val="FF0000"/>
              </a:solidFill>
              <a:prstDash val="dash"/>
            </a:ln>
          </c:spPr>
          <c:marker>
            <c:symbol val="none"/>
          </c:marker>
          <c:xVal>
            <c:numRef>
              <c:f>AHT!$T$2:$T$100</c:f>
              <c:numCache>
                <c:formatCode>General</c:formatCode>
                <c:ptCount val="99"/>
                <c:pt idx="0">
                  <c:v>-200</c:v>
                </c:pt>
                <c:pt idx="1">
                  <c:v>-190</c:v>
                </c:pt>
                <c:pt idx="2">
                  <c:v>-180</c:v>
                </c:pt>
                <c:pt idx="3">
                  <c:v>-170</c:v>
                </c:pt>
                <c:pt idx="4">
                  <c:v>-160</c:v>
                </c:pt>
                <c:pt idx="5">
                  <c:v>-150</c:v>
                </c:pt>
                <c:pt idx="6">
                  <c:v>-140</c:v>
                </c:pt>
                <c:pt idx="7">
                  <c:v>-130</c:v>
                </c:pt>
                <c:pt idx="8">
                  <c:v>-120</c:v>
                </c:pt>
                <c:pt idx="9">
                  <c:v>-110</c:v>
                </c:pt>
                <c:pt idx="10">
                  <c:v>-100</c:v>
                </c:pt>
                <c:pt idx="11">
                  <c:v>-90</c:v>
                </c:pt>
                <c:pt idx="12">
                  <c:v>-80</c:v>
                </c:pt>
                <c:pt idx="13">
                  <c:v>-70</c:v>
                </c:pt>
                <c:pt idx="14">
                  <c:v>-60</c:v>
                </c:pt>
                <c:pt idx="15">
                  <c:v>-50</c:v>
                </c:pt>
                <c:pt idx="16">
                  <c:v>-40</c:v>
                </c:pt>
                <c:pt idx="17">
                  <c:v>-30</c:v>
                </c:pt>
                <c:pt idx="18">
                  <c:v>-20</c:v>
                </c:pt>
                <c:pt idx="19">
                  <c:v>-10</c:v>
                </c:pt>
                <c:pt idx="20">
                  <c:v>0</c:v>
                </c:pt>
                <c:pt idx="21">
                  <c:v>10</c:v>
                </c:pt>
                <c:pt idx="22">
                  <c:v>20</c:v>
                </c:pt>
                <c:pt idx="23">
                  <c:v>30</c:v>
                </c:pt>
                <c:pt idx="24">
                  <c:v>40</c:v>
                </c:pt>
                <c:pt idx="25">
                  <c:v>50</c:v>
                </c:pt>
                <c:pt idx="26">
                  <c:v>60</c:v>
                </c:pt>
                <c:pt idx="27">
                  <c:v>70</c:v>
                </c:pt>
                <c:pt idx="28">
                  <c:v>80</c:v>
                </c:pt>
                <c:pt idx="29">
                  <c:v>90</c:v>
                </c:pt>
                <c:pt idx="30">
                  <c:v>100</c:v>
                </c:pt>
                <c:pt idx="31">
                  <c:v>110</c:v>
                </c:pt>
                <c:pt idx="32">
                  <c:v>120</c:v>
                </c:pt>
                <c:pt idx="33">
                  <c:v>130</c:v>
                </c:pt>
                <c:pt idx="34">
                  <c:v>140</c:v>
                </c:pt>
                <c:pt idx="35">
                  <c:v>150</c:v>
                </c:pt>
                <c:pt idx="36">
                  <c:v>160</c:v>
                </c:pt>
                <c:pt idx="37">
                  <c:v>170</c:v>
                </c:pt>
                <c:pt idx="38">
                  <c:v>180</c:v>
                </c:pt>
                <c:pt idx="39">
                  <c:v>190</c:v>
                </c:pt>
                <c:pt idx="40">
                  <c:v>200</c:v>
                </c:pt>
                <c:pt idx="41">
                  <c:v>210</c:v>
                </c:pt>
                <c:pt idx="42">
                  <c:v>220</c:v>
                </c:pt>
                <c:pt idx="43">
                  <c:v>230</c:v>
                </c:pt>
                <c:pt idx="44">
                  <c:v>240</c:v>
                </c:pt>
                <c:pt idx="45">
                  <c:v>250</c:v>
                </c:pt>
                <c:pt idx="46">
                  <c:v>260</c:v>
                </c:pt>
                <c:pt idx="47">
                  <c:v>270</c:v>
                </c:pt>
                <c:pt idx="48">
                  <c:v>280</c:v>
                </c:pt>
                <c:pt idx="49">
                  <c:v>290</c:v>
                </c:pt>
                <c:pt idx="50">
                  <c:v>300</c:v>
                </c:pt>
              </c:numCache>
            </c:numRef>
          </c:xVal>
          <c:yVal>
            <c:numRef>
              <c:f>AHT!$U$2:$U$100</c:f>
              <c:numCache>
                <c:formatCode>0.00</c:formatCode>
                <c:ptCount val="99"/>
                <c:pt idx="0">
                  <c:v>72.60126046554096</c:v>
                </c:pt>
                <c:pt idx="1">
                  <c:v>72.601676386233436</c:v>
                </c:pt>
                <c:pt idx="2">
                  <c:v>72.601995709854606</c:v>
                </c:pt>
                <c:pt idx="3">
                  <c:v>72.602223118813058</c:v>
                </c:pt>
                <c:pt idx="4">
                  <c:v>72.60236913943109</c:v>
                </c:pt>
                <c:pt idx="5">
                  <c:v>72.602450073871807</c:v>
                </c:pt>
                <c:pt idx="6">
                  <c:v>72.60248618493651</c:v>
                </c:pt>
                <c:pt idx="7">
                  <c:v>72.602497713413527</c:v>
                </c:pt>
                <c:pt idx="8">
                  <c:v>72.602499846028749</c:v>
                </c:pt>
                <c:pt idx="9">
                  <c:v>72.602499998283946</c:v>
                </c:pt>
                <c:pt idx="10">
                  <c:v>72.602499999999779</c:v>
                </c:pt>
                <c:pt idx="11">
                  <c:v>72.602499999999992</c:v>
                </c:pt>
                <c:pt idx="12">
                  <c:v>2</c:v>
                </c:pt>
                <c:pt idx="13">
                  <c:v>2</c:v>
                </c:pt>
                <c:pt idx="14">
                  <c:v>2.0000000858980371</c:v>
                </c:pt>
                <c:pt idx="15">
                  <c:v>2.0006915196138664</c:v>
                </c:pt>
                <c:pt idx="16">
                  <c:v>2.0619926412911909</c:v>
                </c:pt>
                <c:pt idx="17">
                  <c:v>2.9095739774045128</c:v>
                </c:pt>
                <c:pt idx="18">
                  <c:v>7.1602720405347355</c:v>
                </c:pt>
                <c:pt idx="19">
                  <c:v>17.65737159853283</c:v>
                </c:pt>
                <c:pt idx="20">
                  <c:v>32.186961419216807</c:v>
                </c:pt>
                <c:pt idx="21">
                  <c:v>45.241027369706366</c:v>
                </c:pt>
                <c:pt idx="22">
                  <c:v>54.398279593211178</c:v>
                </c:pt>
                <c:pt idx="23">
                  <c:v>60.2182633525263</c:v>
                </c:pt>
                <c:pt idx="24">
                  <c:v>63.859175953898848</c:v>
                </c:pt>
                <c:pt idx="25">
                  <c:v>66.183441123188032</c:v>
                </c:pt>
                <c:pt idx="26">
                  <c:v>67.716439007892788</c:v>
                </c:pt>
                <c:pt idx="27">
                  <c:v>68.763409620278651</c:v>
                </c:pt>
                <c:pt idx="28">
                  <c:v>69.502484047225138</c:v>
                </c:pt>
                <c:pt idx="29">
                  <c:v>70.040075772498682</c:v>
                </c:pt>
                <c:pt idx="30">
                  <c:v>70.441663183917228</c:v>
                </c:pt>
                <c:pt idx="31">
                  <c:v>70.748784116889482</c:v>
                </c:pt>
                <c:pt idx="32">
                  <c:v>70.988571242160077</c:v>
                </c:pt>
                <c:pt idx="33">
                  <c:v>71.179236034886429</c:v>
                </c:pt>
                <c:pt idx="34">
                  <c:v>71.333310089278484</c:v>
                </c:pt>
                <c:pt idx="35">
                  <c:v>71.459614040540359</c:v>
                </c:pt>
                <c:pt idx="36">
                  <c:v>71.564485368087105</c:v>
                </c:pt>
                <c:pt idx="37">
                  <c:v>71.652563141160044</c:v>
                </c:pt>
                <c:pt idx="38">
                  <c:v>71.727301202653436</c:v>
                </c:pt>
                <c:pt idx="39">
                  <c:v>71.791310945518191</c:v>
                </c:pt>
                <c:pt idx="40">
                  <c:v>71.846594782581519</c:v>
                </c:pt>
                <c:pt idx="41">
                  <c:v>71.894708055894952</c:v>
                </c:pt>
                <c:pt idx="42">
                  <c:v>71.936873200780241</c:v>
                </c:pt>
                <c:pt idx="43">
                  <c:v>71.974061489189836</c:v>
                </c:pt>
                <c:pt idx="44">
                  <c:v>72.007052396305582</c:v>
                </c:pt>
                <c:pt idx="45">
                  <c:v>72.036477286958515</c:v>
                </c:pt>
                <c:pt idx="46">
                  <c:v>72.062851958526736</c:v>
                </c:pt>
                <c:pt idx="47">
                  <c:v>72.08660115982957</c:v>
                </c:pt>
                <c:pt idx="48">
                  <c:v>72.108077261126681</c:v>
                </c:pt>
                <c:pt idx="49">
                  <c:v>72.127574611695167</c:v>
                </c:pt>
                <c:pt idx="50">
                  <c:v>72.145340683639162</c:v>
                </c:pt>
                <c:pt idx="55" formatCode="General">
                  <c:v>-1.6448536269514726</c:v>
                </c:pt>
                <c:pt idx="56" formatCode="General">
                  <c:v>1.6448536269514715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A40-4722-9263-C1BC39A895E1}"/>
            </c:ext>
          </c:extLst>
        </c:ser>
        <c:ser>
          <c:idx val="4"/>
          <c:order val="3"/>
          <c:tx>
            <c:v>BUR</c:v>
          </c:tx>
          <c:spPr>
            <a:ln w="19050">
              <a:solidFill>
                <a:srgbClr val="0070C0"/>
              </a:solidFill>
              <a:prstDash val="lgDash"/>
            </a:ln>
          </c:spPr>
          <c:marker>
            <c:symbol val="none"/>
          </c:marker>
          <c:xVal>
            <c:numRef>
              <c:f>BUR!$U$2:$U$100</c:f>
              <c:numCache>
                <c:formatCode>General</c:formatCode>
                <c:ptCount val="99"/>
                <c:pt idx="0">
                  <c:v>-100</c:v>
                </c:pt>
                <c:pt idx="1">
                  <c:v>-90</c:v>
                </c:pt>
                <c:pt idx="2">
                  <c:v>-80</c:v>
                </c:pt>
                <c:pt idx="3">
                  <c:v>-70</c:v>
                </c:pt>
                <c:pt idx="4">
                  <c:v>-60</c:v>
                </c:pt>
                <c:pt idx="5">
                  <c:v>-50</c:v>
                </c:pt>
                <c:pt idx="6">
                  <c:v>-40</c:v>
                </c:pt>
                <c:pt idx="7">
                  <c:v>-30</c:v>
                </c:pt>
                <c:pt idx="8">
                  <c:v>-20</c:v>
                </c:pt>
                <c:pt idx="9">
                  <c:v>-10</c:v>
                </c:pt>
                <c:pt idx="10">
                  <c:v>0</c:v>
                </c:pt>
                <c:pt idx="11">
                  <c:v>10</c:v>
                </c:pt>
                <c:pt idx="12">
                  <c:v>20</c:v>
                </c:pt>
                <c:pt idx="13">
                  <c:v>30</c:v>
                </c:pt>
                <c:pt idx="14">
                  <c:v>40</c:v>
                </c:pt>
                <c:pt idx="15">
                  <c:v>50</c:v>
                </c:pt>
                <c:pt idx="16">
                  <c:v>60</c:v>
                </c:pt>
                <c:pt idx="17">
                  <c:v>70</c:v>
                </c:pt>
                <c:pt idx="18">
                  <c:v>80</c:v>
                </c:pt>
                <c:pt idx="19">
                  <c:v>90</c:v>
                </c:pt>
                <c:pt idx="20">
                  <c:v>100</c:v>
                </c:pt>
                <c:pt idx="21">
                  <c:v>110</c:v>
                </c:pt>
                <c:pt idx="22">
                  <c:v>120</c:v>
                </c:pt>
                <c:pt idx="23">
                  <c:v>130</c:v>
                </c:pt>
                <c:pt idx="24">
                  <c:v>140</c:v>
                </c:pt>
                <c:pt idx="25">
                  <c:v>150</c:v>
                </c:pt>
                <c:pt idx="26">
                  <c:v>160</c:v>
                </c:pt>
                <c:pt idx="27">
                  <c:v>170</c:v>
                </c:pt>
                <c:pt idx="28">
                  <c:v>180</c:v>
                </c:pt>
                <c:pt idx="29">
                  <c:v>190</c:v>
                </c:pt>
                <c:pt idx="30">
                  <c:v>200</c:v>
                </c:pt>
                <c:pt idx="31">
                  <c:v>210</c:v>
                </c:pt>
                <c:pt idx="32">
                  <c:v>220</c:v>
                </c:pt>
                <c:pt idx="33">
                  <c:v>230</c:v>
                </c:pt>
                <c:pt idx="34">
                  <c:v>240</c:v>
                </c:pt>
                <c:pt idx="35">
                  <c:v>250</c:v>
                </c:pt>
                <c:pt idx="36">
                  <c:v>260</c:v>
                </c:pt>
                <c:pt idx="37">
                  <c:v>270</c:v>
                </c:pt>
                <c:pt idx="38">
                  <c:v>280</c:v>
                </c:pt>
                <c:pt idx="39">
                  <c:v>290</c:v>
                </c:pt>
                <c:pt idx="40">
                  <c:v>300</c:v>
                </c:pt>
                <c:pt idx="41">
                  <c:v>310</c:v>
                </c:pt>
                <c:pt idx="42">
                  <c:v>320</c:v>
                </c:pt>
                <c:pt idx="43">
                  <c:v>330</c:v>
                </c:pt>
                <c:pt idx="44">
                  <c:v>340</c:v>
                </c:pt>
                <c:pt idx="45">
                  <c:v>350</c:v>
                </c:pt>
                <c:pt idx="46">
                  <c:v>360</c:v>
                </c:pt>
                <c:pt idx="47">
                  <c:v>370</c:v>
                </c:pt>
                <c:pt idx="48">
                  <c:v>380</c:v>
                </c:pt>
                <c:pt idx="49">
                  <c:v>390</c:v>
                </c:pt>
                <c:pt idx="50">
                  <c:v>400</c:v>
                </c:pt>
              </c:numCache>
            </c:numRef>
          </c:xVal>
          <c:yVal>
            <c:numRef>
              <c:f>BUR!$W$2:$W$100</c:f>
              <c:numCache>
                <c:formatCode>0.00</c:formatCode>
                <c:ptCount val="99"/>
                <c:pt idx="0">
                  <c:v>2.0058225445408375</c:v>
                </c:pt>
                <c:pt idx="1">
                  <c:v>2.0148466643078482</c:v>
                </c:pt>
                <c:pt idx="2">
                  <c:v>2.0377448195241379</c:v>
                </c:pt>
                <c:pt idx="3">
                  <c:v>2.0954560611504673</c:v>
                </c:pt>
                <c:pt idx="4">
                  <c:v>2.2391842458478894</c:v>
                </c:pt>
                <c:pt idx="5">
                  <c:v>2.5897632937835322</c:v>
                </c:pt>
                <c:pt idx="6">
                  <c:v>3.4149359597180853</c:v>
                </c:pt>
                <c:pt idx="7">
                  <c:v>5.2454750520474622</c:v>
                </c:pt>
                <c:pt idx="8">
                  <c:v>8.9434003655064025</c:v>
                </c:pt>
                <c:pt idx="9">
                  <c:v>15.456185575624573</c:v>
                </c:pt>
                <c:pt idx="10">
                  <c:v>25.028264254552816</c:v>
                </c:pt>
                <c:pt idx="11">
                  <c:v>36.441729797583697</c:v>
                </c:pt>
                <c:pt idx="12">
                  <c:v>47.488107448993567</c:v>
                </c:pt>
                <c:pt idx="13">
                  <c:v>56.420952833878857</c:v>
                </c:pt>
                <c:pt idx="14">
                  <c:v>62.727641067953741</c:v>
                </c:pt>
                <c:pt idx="15">
                  <c:v>66.787137092378174</c:v>
                </c:pt>
                <c:pt idx="16">
                  <c:v>69.251940119700663</c:v>
                </c:pt>
                <c:pt idx="17">
                  <c:v>70.696848378475835</c:v>
                </c:pt>
                <c:pt idx="18">
                  <c:v>71.526702211099916</c:v>
                </c:pt>
                <c:pt idx="19">
                  <c:v>71.997751934745295</c:v>
                </c:pt>
                <c:pt idx="20">
                  <c:v>72.263361243212628</c:v>
                </c:pt>
                <c:pt idx="21">
                  <c:v>72.41256931338539</c:v>
                </c:pt>
                <c:pt idx="22">
                  <c:v>72.496211901467277</c:v>
                </c:pt>
                <c:pt idx="23">
                  <c:v>72.543044735414284</c:v>
                </c:pt>
                <c:pt idx="24">
                  <c:v>72.569249887194118</c:v>
                </c:pt>
                <c:pt idx="25">
                  <c:v>72.583907474530278</c:v>
                </c:pt>
                <c:pt idx="26">
                  <c:v>72.592104354406956</c:v>
                </c:pt>
                <c:pt idx="27">
                  <c:v>72.596687719703567</c:v>
                </c:pt>
                <c:pt idx="28">
                  <c:v>72.599250387527732</c:v>
                </c:pt>
                <c:pt idx="29">
                  <c:v>72.600683183897857</c:v>
                </c:pt>
                <c:pt idx="30">
                  <c:v>72.60148424908445</c:v>
                </c:pt>
                <c:pt idx="31">
                  <c:v>72.601932113275709</c:v>
                </c:pt>
                <c:pt idx="32">
                  <c:v>72.602182506216209</c:v>
                </c:pt>
                <c:pt idx="33">
                  <c:v>72.602322495982264</c:v>
                </c:pt>
                <c:pt idx="34">
                  <c:v>72.602400761351475</c:v>
                </c:pt>
                <c:pt idx="35">
                  <c:v>72.602444517844773</c:v>
                </c:pt>
                <c:pt idx="36">
                  <c:v>72.60246898114886</c:v>
                </c:pt>
                <c:pt idx="37">
                  <c:v>72.60248265804556</c:v>
                </c:pt>
                <c:pt idx="38">
                  <c:v>72.602490304497053</c:v>
                </c:pt>
                <c:pt idx="39">
                  <c:v>72.602494579459062</c:v>
                </c:pt>
                <c:pt idx="40">
                  <c:v>72.602496969495704</c:v>
                </c:pt>
                <c:pt idx="41">
                  <c:v>72.602498305712231</c:v>
                </c:pt>
                <c:pt idx="42">
                  <c:v>72.602499052761274</c:v>
                </c:pt>
                <c:pt idx="43">
                  <c:v>72.602499470419829</c:v>
                </c:pt>
                <c:pt idx="44">
                  <c:v>72.602499703923471</c:v>
                </c:pt>
                <c:pt idx="45">
                  <c:v>72.60249983447018</c:v>
                </c:pt>
                <c:pt idx="46">
                  <c:v>72.602499907455936</c:v>
                </c:pt>
                <c:pt idx="47">
                  <c:v>72.602499948260672</c:v>
                </c:pt>
                <c:pt idx="48">
                  <c:v>72.602499971073669</c:v>
                </c:pt>
                <c:pt idx="49">
                  <c:v>72.60249998382794</c:v>
                </c:pt>
                <c:pt idx="50">
                  <c:v>72.602499990958535</c:v>
                </c:pt>
                <c:pt idx="55" formatCode="General">
                  <c:v>-1.6448536269514726</c:v>
                </c:pt>
                <c:pt idx="56" formatCode="General">
                  <c:v>1.6448536269514715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5F7C-4FFB-994B-B34C6EEA76FA}"/>
            </c:ext>
          </c:extLst>
        </c:ser>
        <c:ser>
          <c:idx val="5"/>
          <c:order val="4"/>
          <c:tx>
            <c:v>ACT</c:v>
          </c:tx>
          <c:spPr>
            <a:ln w="19050">
              <a:solidFill>
                <a:srgbClr val="00B050"/>
              </a:solidFill>
              <a:prstDash val="dashDot"/>
            </a:ln>
          </c:spPr>
          <c:marker>
            <c:symbol val="none"/>
          </c:marker>
          <c:xVal>
            <c:numRef>
              <c:f>ACT!$T$2:$T$100</c:f>
              <c:numCache>
                <c:formatCode>General</c:formatCode>
                <c:ptCount val="99"/>
                <c:pt idx="0">
                  <c:v>-100</c:v>
                </c:pt>
                <c:pt idx="1">
                  <c:v>-90</c:v>
                </c:pt>
                <c:pt idx="2">
                  <c:v>-80</c:v>
                </c:pt>
                <c:pt idx="3">
                  <c:v>-70</c:v>
                </c:pt>
                <c:pt idx="4">
                  <c:v>-60</c:v>
                </c:pt>
                <c:pt idx="5">
                  <c:v>-50</c:v>
                </c:pt>
                <c:pt idx="6">
                  <c:v>-40</c:v>
                </c:pt>
                <c:pt idx="7">
                  <c:v>-30</c:v>
                </c:pt>
                <c:pt idx="8">
                  <c:v>-20</c:v>
                </c:pt>
                <c:pt idx="9">
                  <c:v>-10</c:v>
                </c:pt>
                <c:pt idx="10">
                  <c:v>0</c:v>
                </c:pt>
                <c:pt idx="11">
                  <c:v>10</c:v>
                </c:pt>
                <c:pt idx="12">
                  <c:v>20</c:v>
                </c:pt>
                <c:pt idx="13">
                  <c:v>30</c:v>
                </c:pt>
                <c:pt idx="14">
                  <c:v>40</c:v>
                </c:pt>
                <c:pt idx="15">
                  <c:v>50</c:v>
                </c:pt>
                <c:pt idx="16">
                  <c:v>60</c:v>
                </c:pt>
                <c:pt idx="17">
                  <c:v>70</c:v>
                </c:pt>
                <c:pt idx="18">
                  <c:v>80</c:v>
                </c:pt>
                <c:pt idx="19">
                  <c:v>90</c:v>
                </c:pt>
                <c:pt idx="20">
                  <c:v>100</c:v>
                </c:pt>
                <c:pt idx="21">
                  <c:v>110</c:v>
                </c:pt>
                <c:pt idx="22">
                  <c:v>120</c:v>
                </c:pt>
                <c:pt idx="23">
                  <c:v>130</c:v>
                </c:pt>
                <c:pt idx="24">
                  <c:v>140</c:v>
                </c:pt>
                <c:pt idx="25">
                  <c:v>150</c:v>
                </c:pt>
                <c:pt idx="26">
                  <c:v>160</c:v>
                </c:pt>
                <c:pt idx="27">
                  <c:v>170</c:v>
                </c:pt>
                <c:pt idx="28">
                  <c:v>180</c:v>
                </c:pt>
                <c:pt idx="29">
                  <c:v>190</c:v>
                </c:pt>
                <c:pt idx="30">
                  <c:v>200</c:v>
                </c:pt>
                <c:pt idx="31">
                  <c:v>210</c:v>
                </c:pt>
                <c:pt idx="32">
                  <c:v>220</c:v>
                </c:pt>
                <c:pt idx="33">
                  <c:v>230</c:v>
                </c:pt>
                <c:pt idx="34">
                  <c:v>240</c:v>
                </c:pt>
                <c:pt idx="35">
                  <c:v>250</c:v>
                </c:pt>
                <c:pt idx="36">
                  <c:v>260</c:v>
                </c:pt>
                <c:pt idx="37">
                  <c:v>270</c:v>
                </c:pt>
                <c:pt idx="38">
                  <c:v>280</c:v>
                </c:pt>
                <c:pt idx="39">
                  <c:v>290</c:v>
                </c:pt>
                <c:pt idx="40">
                  <c:v>300</c:v>
                </c:pt>
                <c:pt idx="41">
                  <c:v>310</c:v>
                </c:pt>
                <c:pt idx="42">
                  <c:v>320</c:v>
                </c:pt>
                <c:pt idx="43">
                  <c:v>330</c:v>
                </c:pt>
                <c:pt idx="44">
                  <c:v>340</c:v>
                </c:pt>
                <c:pt idx="45">
                  <c:v>350</c:v>
                </c:pt>
                <c:pt idx="46">
                  <c:v>360</c:v>
                </c:pt>
                <c:pt idx="47">
                  <c:v>370</c:v>
                </c:pt>
                <c:pt idx="48">
                  <c:v>380</c:v>
                </c:pt>
                <c:pt idx="49">
                  <c:v>390</c:v>
                </c:pt>
                <c:pt idx="50">
                  <c:v>400</c:v>
                </c:pt>
              </c:numCache>
            </c:numRef>
          </c:xVal>
          <c:yVal>
            <c:numRef>
              <c:f>ACT!$U$2:$U$100</c:f>
              <c:numCache>
                <c:formatCode>0.00</c:formatCode>
                <c:ptCount val="99"/>
                <c:pt idx="0">
                  <c:v>4.6407241550455467</c:v>
                </c:pt>
                <c:pt idx="1">
                  <c:v>4.8991206876203321</c:v>
                </c:pt>
                <c:pt idx="2">
                  <c:v>5.2131886315417475</c:v>
                </c:pt>
                <c:pt idx="3">
                  <c:v>5.6029174340278338</c:v>
                </c:pt>
                <c:pt idx="4">
                  <c:v>6.0990438494677441</c:v>
                </c:pt>
                <c:pt idx="5">
                  <c:v>6.7512649538026217</c:v>
                </c:pt>
                <c:pt idx="6">
                  <c:v>7.6451342939850271</c:v>
                </c:pt>
                <c:pt idx="7">
                  <c:v>8.9401486309551572</c:v>
                </c:pt>
                <c:pt idx="8">
                  <c:v>10.965603610303283</c:v>
                </c:pt>
                <c:pt idx="9">
                  <c:v>14.491734743221034</c:v>
                </c:pt>
                <c:pt idx="10">
                  <c:v>21.501624064486251</c:v>
                </c:pt>
                <c:pt idx="11">
                  <c:v>35.392825371864163</c:v>
                </c:pt>
                <c:pt idx="12">
                  <c:v>50.679438246134204</c:v>
                </c:pt>
                <c:pt idx="13">
                  <c:v>58.95850245244587</c:v>
                </c:pt>
                <c:pt idx="14">
                  <c:v>63.022280892049466</c:v>
                </c:pt>
                <c:pt idx="15">
                  <c:v>65.290634059468175</c:v>
                </c:pt>
                <c:pt idx="16">
                  <c:v>66.710895729483269</c:v>
                </c:pt>
                <c:pt idx="17">
                  <c:v>67.676660434251133</c:v>
                </c:pt>
                <c:pt idx="18">
                  <c:v>68.373635934409762</c:v>
                </c:pt>
                <c:pt idx="19">
                  <c:v>68.899397560275474</c:v>
                </c:pt>
                <c:pt idx="20">
                  <c:v>69.309718406759913</c:v>
                </c:pt>
                <c:pt idx="21">
                  <c:v>69.638654948369435</c:v>
                </c:pt>
                <c:pt idx="22">
                  <c:v>69.908128222019442</c:v>
                </c:pt>
                <c:pt idx="23">
                  <c:v>70.132865415744078</c:v>
                </c:pt>
                <c:pt idx="24">
                  <c:v>70.323117185440026</c:v>
                </c:pt>
                <c:pt idx="25">
                  <c:v>70.486233498544834</c:v>
                </c:pt>
                <c:pt idx="26">
                  <c:v>70.627619303981973</c:v>
                </c:pt>
                <c:pt idx="27">
                  <c:v>70.751336581764775</c:v>
                </c:pt>
                <c:pt idx="28">
                  <c:v>70.860496247773867</c:v>
                </c:pt>
                <c:pt idx="29">
                  <c:v>70.957520630071656</c:v>
                </c:pt>
                <c:pt idx="30">
                  <c:v>71.044323703048121</c:v>
                </c:pt>
                <c:pt idx="31">
                  <c:v>71.122437607706061</c:v>
                </c:pt>
                <c:pt idx="32">
                  <c:v>71.19310322584667</c:v>
                </c:pt>
                <c:pt idx="33">
                  <c:v>71.257336170205434</c:v>
                </c:pt>
                <c:pt idx="34">
                  <c:v>71.315975630005838</c:v>
                </c:pt>
                <c:pt idx="35">
                  <c:v>71.369721047716084</c:v>
                </c:pt>
                <c:pt idx="36">
                  <c:v>71.419160019628691</c:v>
                </c:pt>
                <c:pt idx="37">
                  <c:v>71.464789774237659</c:v>
                </c:pt>
                <c:pt idx="38">
                  <c:v>71.507033887997778</c:v>
                </c:pt>
                <c:pt idx="39">
                  <c:v>71.546255425734898</c:v>
                </c:pt>
                <c:pt idx="40">
                  <c:v>71.582767366583539</c:v>
                </c:pt>
                <c:pt idx="41">
                  <c:v>71.616840947462123</c:v>
                </c:pt>
                <c:pt idx="42">
                  <c:v>71.648712393437577</c:v>
                </c:pt>
                <c:pt idx="43">
                  <c:v>71.678588387273777</c:v>
                </c:pt>
                <c:pt idx="44">
                  <c:v>71.706650545234282</c:v>
                </c:pt>
                <c:pt idx="45">
                  <c:v>71.733059103487335</c:v>
                </c:pt>
                <c:pt idx="46">
                  <c:v>71.757955972830018</c:v>
                </c:pt>
                <c:pt idx="47">
                  <c:v>71.781467284451367</c:v>
                </c:pt>
                <c:pt idx="48">
                  <c:v>71.803705522953834</c:v>
                </c:pt>
                <c:pt idx="49">
                  <c:v>71.824771322618616</c:v>
                </c:pt>
                <c:pt idx="50">
                  <c:v>71.844754987328812</c:v>
                </c:pt>
                <c:pt idx="55" formatCode="General">
                  <c:v>-1.6448536269514726</c:v>
                </c:pt>
                <c:pt idx="56" formatCode="General">
                  <c:v>1.6448536269514715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5F7C-4FFB-994B-B34C6EEA76FA}"/>
            </c:ext>
          </c:extLst>
        </c:ser>
        <c:ser>
          <c:idx val="6"/>
          <c:order val="5"/>
          <c:tx>
            <c:v>KHT</c:v>
          </c:tx>
          <c:spPr>
            <a:ln w="19050">
              <a:solidFill>
                <a:srgbClr val="7030A0"/>
              </a:solidFill>
              <a:prstDash val="sysDash"/>
            </a:ln>
          </c:spPr>
          <c:marker>
            <c:symbol val="none"/>
          </c:marker>
          <c:xVal>
            <c:numRef>
              <c:f>KHT!$V$2:$V$100</c:f>
              <c:numCache>
                <c:formatCode>General</c:formatCode>
                <c:ptCount val="99"/>
                <c:pt idx="0">
                  <c:v>-100</c:v>
                </c:pt>
                <c:pt idx="1">
                  <c:v>-90</c:v>
                </c:pt>
                <c:pt idx="2">
                  <c:v>-80</c:v>
                </c:pt>
                <c:pt idx="3">
                  <c:v>-70</c:v>
                </c:pt>
                <c:pt idx="4">
                  <c:v>-60</c:v>
                </c:pt>
                <c:pt idx="5">
                  <c:v>-50</c:v>
                </c:pt>
                <c:pt idx="6">
                  <c:v>-40</c:v>
                </c:pt>
                <c:pt idx="7">
                  <c:v>-30</c:v>
                </c:pt>
                <c:pt idx="8">
                  <c:v>-20</c:v>
                </c:pt>
                <c:pt idx="9">
                  <c:v>-10</c:v>
                </c:pt>
                <c:pt idx="10">
                  <c:v>0</c:v>
                </c:pt>
                <c:pt idx="11">
                  <c:v>10</c:v>
                </c:pt>
                <c:pt idx="12">
                  <c:v>20</c:v>
                </c:pt>
                <c:pt idx="13">
                  <c:v>30</c:v>
                </c:pt>
                <c:pt idx="14">
                  <c:v>40</c:v>
                </c:pt>
                <c:pt idx="15">
                  <c:v>50</c:v>
                </c:pt>
                <c:pt idx="16">
                  <c:v>60</c:v>
                </c:pt>
                <c:pt idx="17">
                  <c:v>70</c:v>
                </c:pt>
                <c:pt idx="18">
                  <c:v>80</c:v>
                </c:pt>
                <c:pt idx="19">
                  <c:v>90</c:v>
                </c:pt>
                <c:pt idx="20">
                  <c:v>100</c:v>
                </c:pt>
                <c:pt idx="21">
                  <c:v>110</c:v>
                </c:pt>
                <c:pt idx="22">
                  <c:v>120</c:v>
                </c:pt>
                <c:pt idx="23">
                  <c:v>130</c:v>
                </c:pt>
                <c:pt idx="24">
                  <c:v>140</c:v>
                </c:pt>
                <c:pt idx="25">
                  <c:v>150</c:v>
                </c:pt>
                <c:pt idx="26">
                  <c:v>160</c:v>
                </c:pt>
                <c:pt idx="27">
                  <c:v>170</c:v>
                </c:pt>
                <c:pt idx="28">
                  <c:v>180</c:v>
                </c:pt>
                <c:pt idx="29">
                  <c:v>190</c:v>
                </c:pt>
                <c:pt idx="30">
                  <c:v>200</c:v>
                </c:pt>
                <c:pt idx="31">
                  <c:v>210</c:v>
                </c:pt>
                <c:pt idx="32">
                  <c:v>220</c:v>
                </c:pt>
                <c:pt idx="33">
                  <c:v>230</c:v>
                </c:pt>
                <c:pt idx="34">
                  <c:v>240</c:v>
                </c:pt>
                <c:pt idx="35">
                  <c:v>250</c:v>
                </c:pt>
                <c:pt idx="36">
                  <c:v>260</c:v>
                </c:pt>
                <c:pt idx="37">
                  <c:v>270</c:v>
                </c:pt>
                <c:pt idx="38">
                  <c:v>280</c:v>
                </c:pt>
                <c:pt idx="39">
                  <c:v>290</c:v>
                </c:pt>
                <c:pt idx="40">
                  <c:v>300</c:v>
                </c:pt>
                <c:pt idx="41">
                  <c:v>310</c:v>
                </c:pt>
                <c:pt idx="42">
                  <c:v>320</c:v>
                </c:pt>
                <c:pt idx="43">
                  <c:v>330</c:v>
                </c:pt>
                <c:pt idx="44">
                  <c:v>340</c:v>
                </c:pt>
                <c:pt idx="45">
                  <c:v>350</c:v>
                </c:pt>
                <c:pt idx="46">
                  <c:v>360</c:v>
                </c:pt>
                <c:pt idx="47">
                  <c:v>370</c:v>
                </c:pt>
                <c:pt idx="48">
                  <c:v>380</c:v>
                </c:pt>
                <c:pt idx="49">
                  <c:v>390</c:v>
                </c:pt>
                <c:pt idx="50">
                  <c:v>400</c:v>
                </c:pt>
              </c:numCache>
            </c:numRef>
          </c:xVal>
          <c:yVal>
            <c:numRef>
              <c:f>KHT!$Y$2:$Y$100</c:f>
              <c:numCache>
                <c:formatCode>0.00</c:formatCode>
                <c:ptCount val="99"/>
                <c:pt idx="0">
                  <c:v>2.216673170946919</c:v>
                </c:pt>
                <c:pt idx="1">
                  <c:v>2.3425515367125405</c:v>
                </c:pt>
                <c:pt idx="2">
                  <c:v>2.5415601515928792</c:v>
                </c:pt>
                <c:pt idx="3">
                  <c:v>2.8561847382381478</c:v>
                </c:pt>
                <c:pt idx="4">
                  <c:v>3.3535935091158668</c:v>
                </c:pt>
                <c:pt idx="5">
                  <c:v>4.139976696724271</c:v>
                </c:pt>
                <c:pt idx="6">
                  <c:v>5.3832167720087085</c:v>
                </c:pt>
                <c:pt idx="7">
                  <c:v>7.3487291445378871</c:v>
                </c:pt>
                <c:pt idx="8">
                  <c:v>10.456124862683009</c:v>
                </c:pt>
                <c:pt idx="9">
                  <c:v>15.368792055269356</c:v>
                </c:pt>
                <c:pt idx="10">
                  <c:v>23.135520574648446</c:v>
                </c:pt>
                <c:pt idx="11">
                  <c:v>35.414404840362181</c:v>
                </c:pt>
                <c:pt idx="12">
                  <c:v>48.954812161729706</c:v>
                </c:pt>
                <c:pt idx="13">
                  <c:v>57.603190645244432</c:v>
                </c:pt>
                <c:pt idx="14">
                  <c:v>63.088703866596965</c:v>
                </c:pt>
                <c:pt idx="15">
                  <c:v>66.568067698671584</c:v>
                </c:pt>
                <c:pt idx="16">
                  <c:v>68.774966522436344</c:v>
                </c:pt>
                <c:pt idx="17">
                  <c:v>70.174763339727008</c:v>
                </c:pt>
                <c:pt idx="18">
                  <c:v>71.062629656296266</c:v>
                </c:pt>
                <c:pt idx="19">
                  <c:v>71.625787527753687</c:v>
                </c:pt>
                <c:pt idx="20">
                  <c:v>71.98298858636565</c:v>
                </c:pt>
                <c:pt idx="21">
                  <c:v>72.209554888179568</c:v>
                </c:pt>
                <c:pt idx="22">
                  <c:v>72.353261878626654</c:v>
                </c:pt>
                <c:pt idx="23">
                  <c:v>72.444412676154883</c:v>
                </c:pt>
                <c:pt idx="24">
                  <c:v>72.502228011819369</c:v>
                </c:pt>
                <c:pt idx="25">
                  <c:v>72.538899254733735</c:v>
                </c:pt>
                <c:pt idx="26">
                  <c:v>72.562159174293654</c:v>
                </c:pt>
                <c:pt idx="27">
                  <c:v>72.576912529100767</c:v>
                </c:pt>
                <c:pt idx="28">
                  <c:v>72.586270320622958</c:v>
                </c:pt>
                <c:pt idx="29">
                  <c:v>72.592205801963829</c:v>
                </c:pt>
                <c:pt idx="30">
                  <c:v>72.595970572600592</c:v>
                </c:pt>
                <c:pt idx="31">
                  <c:v>72.598358499903128</c:v>
                </c:pt>
                <c:pt idx="32">
                  <c:v>72.599873119876634</c:v>
                </c:pt>
                <c:pt idx="33">
                  <c:v>72.600833816486514</c:v>
                </c:pt>
                <c:pt idx="34">
                  <c:v>72.601443169322451</c:v>
                </c:pt>
                <c:pt idx="35">
                  <c:v>72.60182967102844</c:v>
                </c:pt>
                <c:pt idx="36">
                  <c:v>72.602074822211677</c:v>
                </c:pt>
                <c:pt idx="37">
                  <c:v>72.602230317263093</c:v>
                </c:pt>
                <c:pt idx="38">
                  <c:v>72.602328945018797</c:v>
                </c:pt>
                <c:pt idx="39">
                  <c:v>72.602391502856548</c:v>
                </c:pt>
                <c:pt idx="40">
                  <c:v>72.602431182184489</c:v>
                </c:pt>
                <c:pt idx="41">
                  <c:v>72.60245635007908</c:v>
                </c:pt>
                <c:pt idx="42">
                  <c:v>72.602472313628638</c:v>
                </c:pt>
                <c:pt idx="43">
                  <c:v>72.602482439025252</c:v>
                </c:pt>
                <c:pt idx="44">
                  <c:v>72.602488861384899</c:v>
                </c:pt>
                <c:pt idx="45">
                  <c:v>72.60249293497381</c:v>
                </c:pt>
                <c:pt idx="46">
                  <c:v>72.602495518779079</c:v>
                </c:pt>
                <c:pt idx="47">
                  <c:v>72.602497157640983</c:v>
                </c:pt>
                <c:pt idx="48">
                  <c:v>72.60249819714204</c:v>
                </c:pt>
                <c:pt idx="49">
                  <c:v>72.602498856479144</c:v>
                </c:pt>
                <c:pt idx="50">
                  <c:v>72.602499274684973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5F7C-4FFB-994B-B34C6EEA76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02140760"/>
        <c:axId val="1102143056"/>
      </c:scatterChart>
      <c:valAx>
        <c:axId val="1102140760"/>
        <c:scaling>
          <c:orientation val="minMax"/>
          <c:max val="200"/>
          <c:min val="-10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20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2000" b="1"/>
                  <a:t>Temperature (</a:t>
                </a:r>
                <a:r>
                  <a:rPr lang="en-US" sz="2000" b="1">
                    <a:sym typeface="Symbol" panose="05050102010706020507" pitchFamily="18" charset="2"/>
                  </a:rPr>
                  <a:t>C)</a:t>
                </a:r>
                <a:endParaRPr lang="en-US" sz="2000" b="1"/>
              </a:p>
            </c:rich>
          </c:tx>
          <c:layout>
            <c:manualLayout>
              <c:xMode val="edge"/>
              <c:yMode val="edge"/>
              <c:x val="0.41774621358174219"/>
              <c:y val="0.94241449468154981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in"/>
        <c:minorTickMark val="in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2143056"/>
        <c:crosses val="autoZero"/>
        <c:crossBetween val="midCat"/>
      </c:valAx>
      <c:valAx>
        <c:axId val="1102143056"/>
        <c:scaling>
          <c:orientation val="minMax"/>
          <c:min val="0"/>
        </c:scaling>
        <c:delete val="0"/>
        <c:axPos val="l"/>
        <c:title>
          <c:tx>
            <c:strRef>
              <c:f>'Input data'!$M$1</c:f>
              <c:strCache>
                <c:ptCount val="1"/>
                <c:pt idx="0">
                  <c:v>KV (J)</c:v>
                </c:pt>
              </c:strCache>
            </c:strRef>
          </c:tx>
          <c:layout>
            <c:manualLayout>
              <c:xMode val="edge"/>
              <c:yMode val="edge"/>
              <c:x val="1.1707084835440478E-3"/>
              <c:y val="0.3961990983658896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20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0"/>
        <c:majorTickMark val="in"/>
        <c:minorTickMark val="in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2140760"/>
        <c:crossesAt val="-200"/>
        <c:crossBetween val="midCat"/>
      </c:valAx>
      <c:spPr>
        <a:noFill/>
        <a:ln>
          <a:solidFill>
            <a:schemeClr val="tx1"/>
          </a:solidFill>
        </a:ln>
        <a:effectLst/>
      </c:spPr>
    </c:plotArea>
    <c:legend>
      <c:legendPos val="r"/>
      <c:legendEntry>
        <c:idx val="0"/>
        <c:delete val="1"/>
      </c:legendEntry>
      <c:layout>
        <c:manualLayout>
          <c:xMode val="edge"/>
          <c:yMode val="edge"/>
          <c:x val="0.14166437122723194"/>
          <c:y val="9.7690817946366693E-2"/>
          <c:w val="0.17634345651458272"/>
          <c:h val="0.29450411102919066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  <a:effectLst>
          <a:outerShdw blurRad="50800" dist="38100" dir="8100000" algn="tr" rotWithShape="0">
            <a:prstClr val="black">
              <a:alpha val="40000"/>
            </a:prstClr>
          </a:outerShdw>
        </a:effectLst>
      </c:spPr>
      <c:txPr>
        <a:bodyPr/>
        <a:lstStyle/>
        <a:p>
          <a:pPr>
            <a:defRPr sz="2000"/>
          </a:pPr>
          <a:endParaRPr lang="en-US"/>
        </a:p>
      </c:txPr>
    </c:legend>
    <c:plotVisOnly val="1"/>
    <c:dispBlanksAs val="gap"/>
    <c:showDLblsOverMax val="0"/>
    <c:extLst/>
  </c:chart>
  <c:spPr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A68D049-9A7F-4753-920D-43BD43FECCBF}">
  <sheetPr codeName="Chart10"/>
  <sheetViews>
    <sheetView tabSelected="1" zoomScale="117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Drop" dropStyle="combo" dx="22" fmlaLink="$I$3" fmlaRange="$L$1:$L$3" sel="1" val="0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2</xdr:row>
          <xdr:rowOff>0</xdr:rowOff>
        </xdr:from>
        <xdr:to>
          <xdr:col>9</xdr:col>
          <xdr:colOff>314325</xdr:colOff>
          <xdr:row>3</xdr:row>
          <xdr:rowOff>19050</xdr:rowOff>
        </xdr:to>
        <xdr:sp macro="" textlink="">
          <xdr:nvSpPr>
            <xdr:cNvPr id="9218" name="Drop Dow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0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485775</xdr:colOff>
          <xdr:row>0</xdr:row>
          <xdr:rowOff>142875</xdr:rowOff>
        </xdr:from>
        <xdr:to>
          <xdr:col>12</xdr:col>
          <xdr:colOff>142875</xdr:colOff>
          <xdr:row>3</xdr:row>
          <xdr:rowOff>114300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0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FILE AS...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7620</xdr:colOff>
      <xdr:row>0</xdr:row>
      <xdr:rowOff>3810</xdr:rowOff>
    </xdr:from>
    <xdr:to>
      <xdr:col>18</xdr:col>
      <xdr:colOff>15240</xdr:colOff>
      <xdr:row>28</xdr:row>
      <xdr:rowOff>22860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33</xdr:row>
          <xdr:rowOff>133350</xdr:rowOff>
        </xdr:from>
        <xdr:to>
          <xdr:col>4</xdr:col>
          <xdr:colOff>114300</xdr:colOff>
          <xdr:row>36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Auto Y scale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476250</xdr:colOff>
          <xdr:row>2</xdr:row>
          <xdr:rowOff>0</xdr:rowOff>
        </xdr:from>
        <xdr:to>
          <xdr:col>6</xdr:col>
          <xdr:colOff>0</xdr:colOff>
          <xdr:row>4</xdr:row>
          <xdr:rowOff>66675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SFA Y scale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0.38935</cdr:x>
      <cdr:y>0.87469</cdr:y>
    </cdr:from>
    <cdr:to>
      <cdr:x>0.47503</cdr:x>
      <cdr:y>0.93742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366FF7C7-642D-4815-81C4-59E3EE7AF094}"/>
            </a:ext>
          </a:extLst>
        </cdr:cNvPr>
        <cdr:cNvSpPr txBox="1"/>
      </cdr:nvSpPr>
      <cdr:spPr>
        <a:xfrm xmlns:a="http://schemas.openxmlformats.org/drawingml/2006/main">
          <a:off x="2851134" y="4707236"/>
          <a:ext cx="627419" cy="33758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600"/>
            <a:t>DBTT</a:t>
          </a:r>
        </a:p>
      </cdr:txBody>
    </cdr:sp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7620</xdr:colOff>
      <xdr:row>0</xdr:row>
      <xdr:rowOff>3810</xdr:rowOff>
    </xdr:from>
    <xdr:to>
      <xdr:col>18</xdr:col>
      <xdr:colOff>15240</xdr:colOff>
      <xdr:row>28</xdr:row>
      <xdr:rowOff>22860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34</xdr:row>
          <xdr:rowOff>9525</xdr:rowOff>
        </xdr:from>
        <xdr:to>
          <xdr:col>5</xdr:col>
          <xdr:colOff>9525</xdr:colOff>
          <xdr:row>36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476250</xdr:colOff>
          <xdr:row>0</xdr:row>
          <xdr:rowOff>0</xdr:rowOff>
        </xdr:from>
        <xdr:to>
          <xdr:col>6</xdr:col>
          <xdr:colOff>9525</xdr:colOff>
          <xdr:row>2</xdr:row>
          <xdr:rowOff>19050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Auto Y scale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476250</xdr:colOff>
          <xdr:row>2</xdr:row>
          <xdr:rowOff>28575</xdr:rowOff>
        </xdr:from>
        <xdr:to>
          <xdr:col>6</xdr:col>
          <xdr:colOff>0</xdr:colOff>
          <xdr:row>4</xdr:row>
          <xdr:rowOff>95250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2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SFA Y scale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0.39585</cdr:x>
      <cdr:y>0.81452</cdr:y>
    </cdr:from>
    <cdr:to>
      <cdr:x>0.48153</cdr:x>
      <cdr:y>0.8778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8671DD01-1629-4C93-8741-AA5D28423E7E}"/>
            </a:ext>
          </a:extLst>
        </cdr:cNvPr>
        <cdr:cNvSpPr txBox="1"/>
      </cdr:nvSpPr>
      <cdr:spPr>
        <a:xfrm xmlns:a="http://schemas.openxmlformats.org/drawingml/2006/main">
          <a:off x="2898759" y="4383441"/>
          <a:ext cx="627419" cy="34054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600"/>
            <a:t>DBTT</a:t>
          </a:r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7620</xdr:colOff>
      <xdr:row>0</xdr:row>
      <xdr:rowOff>3810</xdr:rowOff>
    </xdr:from>
    <xdr:to>
      <xdr:col>19</xdr:col>
      <xdr:colOff>0</xdr:colOff>
      <xdr:row>28</xdr:row>
      <xdr:rowOff>22860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342900</xdr:colOff>
          <xdr:row>33</xdr:row>
          <xdr:rowOff>180975</xdr:rowOff>
        </xdr:from>
        <xdr:to>
          <xdr:col>7</xdr:col>
          <xdr:colOff>171450</xdr:colOff>
          <xdr:row>35</xdr:row>
          <xdr:rowOff>142875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3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447675</xdr:colOff>
          <xdr:row>0</xdr:row>
          <xdr:rowOff>19050</xdr:rowOff>
        </xdr:from>
        <xdr:to>
          <xdr:col>6</xdr:col>
          <xdr:colOff>600075</xdr:colOff>
          <xdr:row>2</xdr:row>
          <xdr:rowOff>85725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3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Auto Y scale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438150</xdr:colOff>
          <xdr:row>2</xdr:row>
          <xdr:rowOff>95250</xdr:rowOff>
        </xdr:from>
        <xdr:to>
          <xdr:col>6</xdr:col>
          <xdr:colOff>590550</xdr:colOff>
          <xdr:row>4</xdr:row>
          <xdr:rowOff>171450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3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SFA Y scale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0.39634</cdr:x>
      <cdr:y>0.8746</cdr:y>
    </cdr:from>
    <cdr:to>
      <cdr:x>0.46398</cdr:x>
      <cdr:y>0.93788</cdr:y>
    </cdr:to>
    <cdr:sp macro="" textlink="">
      <cdr:nvSpPr>
        <cdr:cNvPr id="4" name="TextBox 1">
          <a:extLst xmlns:a="http://schemas.openxmlformats.org/drawingml/2006/main">
            <a:ext uri="{FF2B5EF4-FFF2-40B4-BE49-F238E27FC236}">
              <a16:creationId xmlns:a16="http://schemas.microsoft.com/office/drawing/2014/main" id="{63FE3D7A-2DC2-48BA-AC0A-9521715ED929}"/>
            </a:ext>
          </a:extLst>
        </cdr:cNvPr>
        <cdr:cNvSpPr txBox="1"/>
      </cdr:nvSpPr>
      <cdr:spPr>
        <a:xfrm xmlns:a="http://schemas.openxmlformats.org/drawingml/2006/main">
          <a:off x="2896302" y="4706753"/>
          <a:ext cx="494285" cy="34054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600"/>
            <a:t>DBTT</a:t>
          </a:r>
        </a:p>
      </cdr:txBody>
    </cdr:sp>
  </cdr:relSizeAnchor>
</c:userShapes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7620</xdr:colOff>
      <xdr:row>0</xdr:row>
      <xdr:rowOff>3810</xdr:rowOff>
    </xdr:from>
    <xdr:to>
      <xdr:col>18</xdr:col>
      <xdr:colOff>15240</xdr:colOff>
      <xdr:row>28</xdr:row>
      <xdr:rowOff>22860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600075</xdr:colOff>
          <xdr:row>33</xdr:row>
          <xdr:rowOff>142875</xdr:rowOff>
        </xdr:from>
        <xdr:to>
          <xdr:col>4</xdr:col>
          <xdr:colOff>95250</xdr:colOff>
          <xdr:row>36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4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476250</xdr:colOff>
          <xdr:row>0</xdr:row>
          <xdr:rowOff>0</xdr:rowOff>
        </xdr:from>
        <xdr:to>
          <xdr:col>5</xdr:col>
          <xdr:colOff>647700</xdr:colOff>
          <xdr:row>2</xdr:row>
          <xdr:rowOff>76200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4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Auto Y scale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476250</xdr:colOff>
          <xdr:row>2</xdr:row>
          <xdr:rowOff>76200</xdr:rowOff>
        </xdr:from>
        <xdr:to>
          <xdr:col>5</xdr:col>
          <xdr:colOff>638175</xdr:colOff>
          <xdr:row>4</xdr:row>
          <xdr:rowOff>142875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4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SFA Y scale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0.38935</cdr:x>
      <cdr:y>0.86949</cdr:y>
    </cdr:from>
    <cdr:to>
      <cdr:x>0.47503</cdr:x>
      <cdr:y>0.93277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D53D7073-B836-432F-A607-AE8E484663AD}"/>
            </a:ext>
          </a:extLst>
        </cdr:cNvPr>
        <cdr:cNvSpPr txBox="1"/>
      </cdr:nvSpPr>
      <cdr:spPr>
        <a:xfrm xmlns:a="http://schemas.openxmlformats.org/drawingml/2006/main">
          <a:off x="2851134" y="4679252"/>
          <a:ext cx="627419" cy="3405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600"/>
            <a:t>DBTT</a:t>
          </a:r>
        </a:p>
      </cdr:txBody>
    </cdr:sp>
  </cdr:relSizeAnchor>
</c:userShapes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7620</xdr:colOff>
      <xdr:row>0</xdr:row>
      <xdr:rowOff>3810</xdr:rowOff>
    </xdr:from>
    <xdr:to>
      <xdr:col>20</xdr:col>
      <xdr:colOff>15240</xdr:colOff>
      <xdr:row>28</xdr:row>
      <xdr:rowOff>22860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476250</xdr:colOff>
          <xdr:row>33</xdr:row>
          <xdr:rowOff>180975</xdr:rowOff>
        </xdr:from>
        <xdr:to>
          <xdr:col>7</xdr:col>
          <xdr:colOff>542925</xdr:colOff>
          <xdr:row>35</xdr:row>
          <xdr:rowOff>123825</xdr:rowOff>
        </xdr:to>
        <xdr:sp macro="" textlink="">
          <xdr:nvSpPr>
            <xdr:cNvPr id="7172" name="Button 4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5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409575</xdr:colOff>
          <xdr:row>0</xdr:row>
          <xdr:rowOff>19050</xdr:rowOff>
        </xdr:from>
        <xdr:to>
          <xdr:col>8</xdr:col>
          <xdr:colOff>9525</xdr:colOff>
          <xdr:row>2</xdr:row>
          <xdr:rowOff>104775</xdr:rowOff>
        </xdr:to>
        <xdr:sp macro="" textlink="">
          <xdr:nvSpPr>
            <xdr:cNvPr id="7173" name="Button 5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00000000-0008-0000-05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Auto Y scale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409575</xdr:colOff>
          <xdr:row>2</xdr:row>
          <xdr:rowOff>104775</xdr:rowOff>
        </xdr:from>
        <xdr:to>
          <xdr:col>8</xdr:col>
          <xdr:colOff>9525</xdr:colOff>
          <xdr:row>5</xdr:row>
          <xdr:rowOff>19050</xdr:rowOff>
        </xdr:to>
        <xdr:sp macro="" textlink="">
          <xdr:nvSpPr>
            <xdr:cNvPr id="7174" name="Button 6" hidden="1">
              <a:extLst>
                <a:ext uri="{63B3BB69-23CF-44E3-9099-C40C66FF867C}">
                  <a14:compatExt spid="_x0000_s7174"/>
                </a:ext>
                <a:ext uri="{FF2B5EF4-FFF2-40B4-BE49-F238E27FC236}">
                  <a16:creationId xmlns:a16="http://schemas.microsoft.com/office/drawing/2014/main" id="{00000000-0008-0000-0500-00000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SFA Y scale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0.38805</cdr:x>
      <cdr:y>0.87749</cdr:y>
    </cdr:from>
    <cdr:to>
      <cdr:x>0.4706</cdr:x>
      <cdr:y>0.94058</cdr:y>
    </cdr:to>
    <cdr:sp macro="" textlink="">
      <cdr:nvSpPr>
        <cdr:cNvPr id="5" name="TextBox 1">
          <a:extLst xmlns:a="http://schemas.openxmlformats.org/drawingml/2006/main">
            <a:ext uri="{FF2B5EF4-FFF2-40B4-BE49-F238E27FC236}">
              <a16:creationId xmlns:a16="http://schemas.microsoft.com/office/drawing/2014/main" id="{9956720A-21DF-4299-933B-F3D034C162C0}"/>
            </a:ext>
          </a:extLst>
        </cdr:cNvPr>
        <cdr:cNvSpPr txBox="1"/>
      </cdr:nvSpPr>
      <cdr:spPr>
        <a:xfrm xmlns:a="http://schemas.openxmlformats.org/drawingml/2006/main">
          <a:off x="2841591" y="4755762"/>
          <a:ext cx="604499" cy="34193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600"/>
            <a:t>DBTT</a:t>
          </a:r>
        </a:p>
      </cdr:txBody>
    </cdr:sp>
  </cdr:relSizeAnchor>
</c:userShapes>
</file>

<file path=xl/drawings/drawing12.xml><?xml version="1.0" encoding="utf-8"?>
<xdr:wsDr xmlns:xdr="http://schemas.openxmlformats.org/drawingml/2006/spreadsheetDrawing" xmlns:a="http://schemas.openxmlformats.org/drawingml/2006/main">
  <xdr:absoluteAnchor>
    <xdr:pos x="0" y="4686301"/>
    <xdr:ext cx="4846320" cy="3515153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 noGrp="1"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276225</xdr:colOff>
          <xdr:row>0</xdr:row>
          <xdr:rowOff>9525</xdr:rowOff>
        </xdr:from>
        <xdr:to>
          <xdr:col>10</xdr:col>
          <xdr:colOff>180975</xdr:colOff>
          <xdr:row>2</xdr:row>
          <xdr:rowOff>28575</xdr:rowOff>
        </xdr:to>
        <xdr:sp macro="" textlink="">
          <xdr:nvSpPr>
            <xdr:cNvPr id="27649" name="Button 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06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PRINT RESULTS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276225</xdr:colOff>
          <xdr:row>0</xdr:row>
          <xdr:rowOff>9525</xdr:rowOff>
        </xdr:from>
        <xdr:to>
          <xdr:col>9</xdr:col>
          <xdr:colOff>333375</xdr:colOff>
          <xdr:row>2</xdr:row>
          <xdr:rowOff>28575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07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xdr:absoluteAnchor>
    <xdr:pos x="0" y="0"/>
    <xdr:ext cx="8669364" cy="6288114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omments" Target="../comments1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omments" Target="../comments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comments" Target="../comments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6.xml"/><Relationship Id="rId6" Type="http://schemas.openxmlformats.org/officeDocument/2006/relationships/comments" Target="../comments4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8.xml"/><Relationship Id="rId6" Type="http://schemas.openxmlformats.org/officeDocument/2006/relationships/comments" Target="../comments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10.xml"/><Relationship Id="rId6" Type="http://schemas.openxmlformats.org/officeDocument/2006/relationships/comments" Target="../comments6.xml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8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EF4A63-24D6-4EEA-9E0A-9B0FAD7D0985}">
  <sheetPr codeName="Sheet1"/>
  <dimension ref="A1:M37"/>
  <sheetViews>
    <sheetView workbookViewId="0">
      <selection activeCell="K17" sqref="K17"/>
    </sheetView>
  </sheetViews>
  <sheetFormatPr defaultRowHeight="15"/>
  <cols>
    <col min="1" max="5" width="9.140625" style="50"/>
    <col min="6" max="6" width="9.140625" style="49"/>
    <col min="7" max="16384" width="9.140625" style="50"/>
  </cols>
  <sheetData>
    <row r="1" spans="1:13">
      <c r="A1" s="46" t="s">
        <v>0</v>
      </c>
      <c r="B1" s="47" t="s">
        <v>1</v>
      </c>
      <c r="C1" s="47" t="s">
        <v>2</v>
      </c>
      <c r="D1" s="48" t="s">
        <v>3</v>
      </c>
      <c r="E1" s="73" t="s">
        <v>15</v>
      </c>
      <c r="L1" s="49" t="s">
        <v>1</v>
      </c>
      <c r="M1" s="49" t="str">
        <f>IF(Fit_index=1,"KV (J)",IF(Fit_index=2,"LE (mm)","SFA (%)"))</f>
        <v>KV (J)</v>
      </c>
    </row>
    <row r="2" spans="1:13" ht="15.75" thickBot="1">
      <c r="A2" s="51" t="s">
        <v>4</v>
      </c>
      <c r="B2" s="52" t="s">
        <v>5</v>
      </c>
      <c r="C2" s="52" t="s">
        <v>6</v>
      </c>
      <c r="D2" s="53" t="s">
        <v>7</v>
      </c>
      <c r="E2" s="74" t="s">
        <v>43</v>
      </c>
      <c r="L2" s="49" t="s">
        <v>2</v>
      </c>
      <c r="M2" s="49" t="str">
        <f>IF(Fit_index=1,"Residuals (J)",IF(Fit_index=2,"Residuals (mm)","Residuals (%)"))</f>
        <v>Residuals (J)</v>
      </c>
    </row>
    <row r="3" spans="1:13">
      <c r="A3" s="54">
        <v>-80</v>
      </c>
      <c r="B3" s="55">
        <v>2.4</v>
      </c>
      <c r="C3" s="56">
        <v>5.842E-2</v>
      </c>
      <c r="D3" s="57">
        <v>0</v>
      </c>
      <c r="E3" s="75" t="str">
        <f t="shared" ref="E3:E32" si="0">IF(ISBLANK(KV_data),"",IF(SFA_data&gt;=95,"YES",""))</f>
        <v/>
      </c>
      <c r="F3" s="49" t="str">
        <f t="shared" ref="F3:F32" si="1">IF(AND(Fit_index=1,SFA_data&gt;=95),KV_data,IF(AND(Fit_index=2,SFA_data&gt;=95),LE_data,IF(AND(Fit_index=3,SFA_data&gt;=95),SFA_data,"")))</f>
        <v/>
      </c>
      <c r="H3" s="58" t="s">
        <v>34</v>
      </c>
      <c r="I3" s="50">
        <v>1</v>
      </c>
      <c r="L3" s="49" t="s">
        <v>3</v>
      </c>
    </row>
    <row r="4" spans="1:13">
      <c r="A4" s="59">
        <v>-50</v>
      </c>
      <c r="B4" s="60">
        <v>4.13</v>
      </c>
      <c r="C4" s="61">
        <v>4.5719999999999997E-2</v>
      </c>
      <c r="D4" s="62">
        <v>0.1546246837222327</v>
      </c>
      <c r="E4" s="75" t="str">
        <f t="shared" si="0"/>
        <v/>
      </c>
      <c r="F4" s="49" t="str">
        <f t="shared" si="1"/>
        <v/>
      </c>
    </row>
    <row r="5" spans="1:13">
      <c r="A5" s="59">
        <v>-35</v>
      </c>
      <c r="B5" s="60">
        <v>4.13</v>
      </c>
      <c r="C5" s="61">
        <v>5.842E-2</v>
      </c>
      <c r="D5" s="62">
        <v>6.2543822745758035</v>
      </c>
      <c r="E5" s="75" t="str">
        <f t="shared" si="0"/>
        <v/>
      </c>
      <c r="F5" s="49" t="str">
        <f t="shared" si="1"/>
        <v/>
      </c>
    </row>
    <row r="6" spans="1:13">
      <c r="A6" s="59">
        <v>-15</v>
      </c>
      <c r="B6" s="60">
        <v>10.210000000000001</v>
      </c>
      <c r="C6" s="61">
        <v>7.3660000000000003E-2</v>
      </c>
      <c r="D6" s="62">
        <v>16.170272548468674</v>
      </c>
      <c r="E6" s="75" t="str">
        <f t="shared" si="0"/>
        <v/>
      </c>
      <c r="F6" s="49" t="str">
        <f t="shared" si="1"/>
        <v/>
      </c>
      <c r="H6" s="58" t="s">
        <v>67</v>
      </c>
      <c r="I6" s="63" t="s">
        <v>70</v>
      </c>
      <c r="J6" s="63"/>
      <c r="K6" s="63"/>
      <c r="L6" s="63"/>
    </row>
    <row r="7" spans="1:13">
      <c r="A7" s="59">
        <v>0</v>
      </c>
      <c r="B7" s="60">
        <v>27.99</v>
      </c>
      <c r="C7" s="61">
        <v>0.48005999999999999</v>
      </c>
      <c r="D7" s="62">
        <v>27.706315941610043</v>
      </c>
      <c r="E7" s="75" t="str">
        <f t="shared" si="0"/>
        <v/>
      </c>
      <c r="F7" s="49" t="str">
        <f t="shared" si="1"/>
        <v/>
      </c>
    </row>
    <row r="8" spans="1:13">
      <c r="A8" s="59">
        <v>10</v>
      </c>
      <c r="B8" s="60">
        <v>34.25</v>
      </c>
      <c r="C8" s="61">
        <v>0.67564000000000002</v>
      </c>
      <c r="D8" s="62">
        <v>39.156538292575796</v>
      </c>
      <c r="E8" s="75" t="str">
        <f t="shared" si="0"/>
        <v/>
      </c>
      <c r="F8" s="49" t="str">
        <f t="shared" si="1"/>
        <v/>
      </c>
    </row>
    <row r="9" spans="1:13">
      <c r="A9" s="59">
        <v>21</v>
      </c>
      <c r="B9" s="60">
        <v>48.86</v>
      </c>
      <c r="C9" s="61">
        <v>0.84836</v>
      </c>
      <c r="D9" s="62">
        <v>52.968239833778561</v>
      </c>
      <c r="E9" s="75" t="str">
        <f t="shared" si="0"/>
        <v/>
      </c>
      <c r="F9" s="49" t="str">
        <f t="shared" si="1"/>
        <v/>
      </c>
    </row>
    <row r="10" spans="1:13">
      <c r="A10" s="59">
        <v>40</v>
      </c>
      <c r="B10" s="60">
        <v>61.88</v>
      </c>
      <c r="C10" s="61">
        <v>1.1353800000000001</v>
      </c>
      <c r="D10" s="62">
        <v>79.072713453255631</v>
      </c>
      <c r="E10" s="75" t="str">
        <f t="shared" si="0"/>
        <v/>
      </c>
      <c r="F10" s="49" t="str">
        <f t="shared" si="1"/>
        <v/>
      </c>
    </row>
    <row r="11" spans="1:13">
      <c r="A11" s="59">
        <v>76</v>
      </c>
      <c r="B11" s="60">
        <v>74.290000000000006</v>
      </c>
      <c r="C11" s="61">
        <v>1.3868399999999999</v>
      </c>
      <c r="D11" s="62">
        <v>100</v>
      </c>
      <c r="E11" s="75" t="str">
        <f t="shared" si="0"/>
        <v>YES</v>
      </c>
      <c r="F11" s="49">
        <f t="shared" si="1"/>
        <v>74.290000000000006</v>
      </c>
      <c r="G11" s="64"/>
    </row>
    <row r="12" spans="1:13">
      <c r="A12" s="59">
        <v>100</v>
      </c>
      <c r="B12" s="60">
        <v>75.22</v>
      </c>
      <c r="C12" s="61">
        <v>1.4147799999999999</v>
      </c>
      <c r="D12" s="62">
        <v>100</v>
      </c>
      <c r="E12" s="75" t="str">
        <f t="shared" si="0"/>
        <v>YES</v>
      </c>
      <c r="F12" s="49">
        <f t="shared" si="1"/>
        <v>75.22</v>
      </c>
    </row>
    <row r="13" spans="1:13">
      <c r="A13" s="59">
        <v>148</v>
      </c>
      <c r="B13" s="60">
        <v>71.5</v>
      </c>
      <c r="C13" s="61">
        <v>1.5</v>
      </c>
      <c r="D13" s="62">
        <v>100</v>
      </c>
      <c r="E13" s="75" t="str">
        <f t="shared" si="0"/>
        <v>YES</v>
      </c>
      <c r="F13" s="49">
        <f t="shared" si="1"/>
        <v>71.5</v>
      </c>
    </row>
    <row r="14" spans="1:13">
      <c r="A14" s="59">
        <v>198</v>
      </c>
      <c r="B14" s="60">
        <v>69.400000000000006</v>
      </c>
      <c r="C14" s="61">
        <v>1.45</v>
      </c>
      <c r="D14" s="62">
        <v>100</v>
      </c>
      <c r="E14" s="75" t="str">
        <f t="shared" si="0"/>
        <v>YES</v>
      </c>
      <c r="F14" s="49">
        <f t="shared" si="1"/>
        <v>69.400000000000006</v>
      </c>
    </row>
    <row r="15" spans="1:13">
      <c r="A15" s="59"/>
      <c r="B15" s="60"/>
      <c r="C15" s="61"/>
      <c r="D15" s="62"/>
      <c r="E15" s="75" t="str">
        <f t="shared" si="0"/>
        <v/>
      </c>
      <c r="F15" s="49" t="str">
        <f t="shared" si="1"/>
        <v/>
      </c>
    </row>
    <row r="16" spans="1:13">
      <c r="A16" s="59"/>
      <c r="B16" s="60"/>
      <c r="C16" s="61"/>
      <c r="D16" s="62"/>
      <c r="E16" s="75" t="str">
        <f t="shared" si="0"/>
        <v/>
      </c>
      <c r="F16" s="49" t="str">
        <f t="shared" si="1"/>
        <v/>
      </c>
    </row>
    <row r="17" spans="1:6">
      <c r="A17" s="59"/>
      <c r="B17" s="60"/>
      <c r="C17" s="61"/>
      <c r="D17" s="62"/>
      <c r="E17" s="75" t="str">
        <f t="shared" si="0"/>
        <v/>
      </c>
      <c r="F17" s="49" t="str">
        <f t="shared" si="1"/>
        <v/>
      </c>
    </row>
    <row r="18" spans="1:6">
      <c r="A18" s="59"/>
      <c r="B18" s="60"/>
      <c r="C18" s="61"/>
      <c r="D18" s="62"/>
      <c r="E18" s="75" t="str">
        <f t="shared" si="0"/>
        <v/>
      </c>
      <c r="F18" s="49" t="str">
        <f t="shared" si="1"/>
        <v/>
      </c>
    </row>
    <row r="19" spans="1:6">
      <c r="A19" s="59"/>
      <c r="B19" s="60"/>
      <c r="C19" s="61"/>
      <c r="D19" s="62"/>
      <c r="E19" s="75" t="str">
        <f t="shared" si="0"/>
        <v/>
      </c>
      <c r="F19" s="49" t="str">
        <f t="shared" si="1"/>
        <v/>
      </c>
    </row>
    <row r="20" spans="1:6">
      <c r="A20" s="59"/>
      <c r="B20" s="60"/>
      <c r="C20" s="61"/>
      <c r="D20" s="62"/>
      <c r="E20" s="75" t="str">
        <f t="shared" si="0"/>
        <v/>
      </c>
      <c r="F20" s="49" t="str">
        <f t="shared" si="1"/>
        <v/>
      </c>
    </row>
    <row r="21" spans="1:6">
      <c r="A21" s="59"/>
      <c r="B21" s="60"/>
      <c r="C21" s="61"/>
      <c r="D21" s="62"/>
      <c r="E21" s="75" t="str">
        <f t="shared" si="0"/>
        <v/>
      </c>
      <c r="F21" s="49" t="str">
        <f t="shared" si="1"/>
        <v/>
      </c>
    </row>
    <row r="22" spans="1:6">
      <c r="A22" s="59"/>
      <c r="B22" s="60"/>
      <c r="C22" s="61"/>
      <c r="D22" s="62"/>
      <c r="E22" s="75" t="str">
        <f t="shared" si="0"/>
        <v/>
      </c>
      <c r="F22" s="49" t="str">
        <f t="shared" si="1"/>
        <v/>
      </c>
    </row>
    <row r="23" spans="1:6">
      <c r="A23" s="59"/>
      <c r="B23" s="60"/>
      <c r="C23" s="61"/>
      <c r="D23" s="62"/>
      <c r="E23" s="75" t="str">
        <f t="shared" si="0"/>
        <v/>
      </c>
      <c r="F23" s="49" t="str">
        <f t="shared" si="1"/>
        <v/>
      </c>
    </row>
    <row r="24" spans="1:6">
      <c r="A24" s="59"/>
      <c r="B24" s="60"/>
      <c r="C24" s="61"/>
      <c r="D24" s="62"/>
      <c r="E24" s="75" t="str">
        <f t="shared" si="0"/>
        <v/>
      </c>
      <c r="F24" s="49" t="str">
        <f t="shared" si="1"/>
        <v/>
      </c>
    </row>
    <row r="25" spans="1:6">
      <c r="A25" s="59"/>
      <c r="B25" s="60"/>
      <c r="C25" s="61"/>
      <c r="D25" s="62"/>
      <c r="E25" s="75" t="str">
        <f t="shared" si="0"/>
        <v/>
      </c>
      <c r="F25" s="49" t="str">
        <f t="shared" si="1"/>
        <v/>
      </c>
    </row>
    <row r="26" spans="1:6">
      <c r="A26" s="59"/>
      <c r="B26" s="60"/>
      <c r="C26" s="61"/>
      <c r="D26" s="62"/>
      <c r="E26" s="75" t="str">
        <f t="shared" si="0"/>
        <v/>
      </c>
      <c r="F26" s="49" t="str">
        <f t="shared" si="1"/>
        <v/>
      </c>
    </row>
    <row r="27" spans="1:6">
      <c r="A27" s="59"/>
      <c r="B27" s="60"/>
      <c r="C27" s="61"/>
      <c r="D27" s="62"/>
      <c r="E27" s="75" t="str">
        <f t="shared" si="0"/>
        <v/>
      </c>
      <c r="F27" s="49" t="str">
        <f t="shared" si="1"/>
        <v/>
      </c>
    </row>
    <row r="28" spans="1:6">
      <c r="A28" s="59"/>
      <c r="B28" s="60"/>
      <c r="C28" s="61"/>
      <c r="D28" s="62"/>
      <c r="E28" s="75" t="str">
        <f t="shared" si="0"/>
        <v/>
      </c>
      <c r="F28" s="49" t="str">
        <f t="shared" si="1"/>
        <v/>
      </c>
    </row>
    <row r="29" spans="1:6">
      <c r="A29" s="59"/>
      <c r="B29" s="60"/>
      <c r="C29" s="61"/>
      <c r="D29" s="62"/>
      <c r="E29" s="75" t="str">
        <f t="shared" si="0"/>
        <v/>
      </c>
      <c r="F29" s="49" t="str">
        <f t="shared" si="1"/>
        <v/>
      </c>
    </row>
    <row r="30" spans="1:6">
      <c r="A30" s="59"/>
      <c r="B30" s="60"/>
      <c r="C30" s="61"/>
      <c r="D30" s="62"/>
      <c r="E30" s="75" t="str">
        <f t="shared" si="0"/>
        <v/>
      </c>
      <c r="F30" s="49" t="str">
        <f t="shared" si="1"/>
        <v/>
      </c>
    </row>
    <row r="31" spans="1:6">
      <c r="A31" s="59"/>
      <c r="B31" s="60"/>
      <c r="C31" s="61"/>
      <c r="D31" s="62"/>
      <c r="E31" s="75" t="str">
        <f t="shared" si="0"/>
        <v/>
      </c>
      <c r="F31" s="49" t="str">
        <f t="shared" si="1"/>
        <v/>
      </c>
    </row>
    <row r="32" spans="1:6" ht="15.75" thickBot="1">
      <c r="A32" s="65"/>
      <c r="B32" s="66"/>
      <c r="C32" s="67"/>
      <c r="D32" s="68"/>
      <c r="E32" s="76" t="str">
        <f t="shared" si="0"/>
        <v/>
      </c>
      <c r="F32" s="49" t="str">
        <f t="shared" si="1"/>
        <v/>
      </c>
    </row>
    <row r="34" spans="1:8">
      <c r="E34" s="69"/>
      <c r="F34" s="70" t="s">
        <v>55</v>
      </c>
      <c r="G34" s="69"/>
    </row>
    <row r="35" spans="1:8">
      <c r="A35" s="71" t="s">
        <v>35</v>
      </c>
      <c r="B35" s="77">
        <f>IF(ISBLANK($F$35),IF(Fit_index=3,100,AVERAGEIF($E3:$E32,"YES",$F3:$F32)),$F$35)</f>
        <v>72.602499999999992</v>
      </c>
      <c r="C35" s="50" t="str">
        <f>IF(Fit_index=1,"J (upper shelf)",IF(Fit_index=2,"mm (upper shelf)","% (upper shelf)"))</f>
        <v>J (upper shelf)</v>
      </c>
      <c r="E35" s="49">
        <f>(US+LS)/2</f>
        <v>37.301249999999996</v>
      </c>
      <c r="F35" s="79"/>
      <c r="G35" s="50" t="str">
        <f>IF(Fit_index=1,"J (upper shelf)",IF(Fit_index=2,"mm (upper shelf)","% (upper shelf)"))</f>
        <v>J (upper shelf)</v>
      </c>
      <c r="H35" s="64"/>
    </row>
    <row r="36" spans="1:8">
      <c r="A36" s="71" t="s">
        <v>36</v>
      </c>
      <c r="B36" s="78">
        <f>IF(ISBLANK($F$36),IF(Fit_index=1,2,0),$F$36)</f>
        <v>2</v>
      </c>
      <c r="C36" s="50" t="str">
        <f>IF(Fit_index=1,"J (lower shelf)",IF(Fit_index=2,"mm (lower shelf)","% (lower shelf)"))</f>
        <v>J (lower shelf)</v>
      </c>
      <c r="E36" s="49">
        <f>(US-LS)/2</f>
        <v>35.301249999999996</v>
      </c>
      <c r="F36" s="72"/>
      <c r="G36" s="50" t="str">
        <f>IF(Fit_index=1,"J (lower shelf)",IF(Fit_index=2,"mm (lower shelf)","% (lower shelf)"))</f>
        <v>J (lower shelf)</v>
      </c>
    </row>
    <row r="37" spans="1:8">
      <c r="E37" s="69"/>
      <c r="F37" s="69"/>
      <c r="G37" s="69"/>
    </row>
  </sheetData>
  <sheetProtection sheet="1" objects="1" scenarios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8" r:id="rId3" name="Drop Down 2">
              <controlPr defaultSize="0" autoLine="0" autoPict="0">
                <anchor moveWithCells="1">
                  <from>
                    <xdr:col>8</xdr:col>
                    <xdr:colOff>247650</xdr:colOff>
                    <xdr:row>2</xdr:row>
                    <xdr:rowOff>0</xdr:rowOff>
                  </from>
                  <to>
                    <xdr:col>9</xdr:col>
                    <xdr:colOff>314325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4" name="Button 3">
              <controlPr defaultSize="0" print="0" autoFill="0" autoPict="0" macro="[0]!Save_file">
                <anchor moveWithCells="1" sizeWithCells="1">
                  <from>
                    <xdr:col>10</xdr:col>
                    <xdr:colOff>485775</xdr:colOff>
                    <xdr:row>0</xdr:row>
                    <xdr:rowOff>142875</xdr:rowOff>
                  </from>
                  <to>
                    <xdr:col>12</xdr:col>
                    <xdr:colOff>142875</xdr:colOff>
                    <xdr:row>3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5AFAA5-2E1E-4936-AD50-41851EBD4F0B}">
  <sheetPr codeName="Sheet2"/>
  <dimension ref="A1:W89"/>
  <sheetViews>
    <sheetView topLeftCell="A26" zoomScaleNormal="100" workbookViewId="0">
      <selection activeCell="T2" sqref="T2"/>
    </sheetView>
  </sheetViews>
  <sheetFormatPr defaultRowHeight="15"/>
  <cols>
    <col min="1" max="1" width="9.140625" style="85"/>
    <col min="2" max="2" width="9.140625" style="85" customWidth="1"/>
    <col min="3" max="4" width="9.140625" style="85"/>
    <col min="5" max="6" width="10.7109375" style="85" customWidth="1"/>
    <col min="7" max="21" width="9.140625" style="85"/>
    <col min="22" max="23" width="8.85546875" style="86"/>
    <col min="24" max="16384" width="9.140625" style="85"/>
  </cols>
  <sheetData>
    <row r="1" spans="1:23" ht="15.75" thickBot="1">
      <c r="A1" s="80" t="s">
        <v>0</v>
      </c>
      <c r="B1" s="81" t="str">
        <f>IF(Fit_index=1,"KV",IF(Fit_index=2,"LE","SFA"))</f>
        <v>KV</v>
      </c>
      <c r="C1" s="82" t="s">
        <v>8</v>
      </c>
      <c r="D1" s="83" t="s">
        <v>11</v>
      </c>
      <c r="E1" s="84"/>
      <c r="T1" s="86" t="s">
        <v>12</v>
      </c>
      <c r="U1" s="86" t="s">
        <v>13</v>
      </c>
      <c r="V1" s="85"/>
      <c r="W1" s="85"/>
    </row>
    <row r="2" spans="1:23" ht="16.5" thickTop="1" thickBot="1">
      <c r="A2" s="87" t="s">
        <v>4</v>
      </c>
      <c r="B2" s="88" t="str">
        <f>IF(Fit_index=1,"(J)",IF(Fit_index=2,"(mm)","(%)"))</f>
        <v>(J)</v>
      </c>
      <c r="C2" s="89" t="str">
        <f>IF(Fit_index=1,"(J)",IF(Fit_index=2,"(mm)","(%)"))</f>
        <v>(J)</v>
      </c>
      <c r="D2" s="90" t="str">
        <f>IF(Fit_index=1,"(J)",IF(Fit_index=2,"(mm)","(%)"))</f>
        <v>(J)</v>
      </c>
      <c r="E2" s="91"/>
      <c r="T2" s="92">
        <v>-100</v>
      </c>
      <c r="U2" s="115">
        <f t="shared" ref="U2:U33" si="0">(LS+US)/2+(US-LS)/2*TANH(($T2-$B$35)/$B$36)</f>
        <v>2.0438700946325312</v>
      </c>
      <c r="V2" s="85"/>
      <c r="W2" s="85"/>
    </row>
    <row r="3" spans="1:23">
      <c r="A3" s="116">
        <f t="shared" ref="A3:A32" si="1">IF(ISBLANK(Temperatures),NA(),Temperatures)</f>
        <v>-80</v>
      </c>
      <c r="B3" s="117">
        <f t="shared" ref="B3:B32" si="2">IF(ISBLANK(KV_data),NA(),IF(Fit_index=1,KV_data,IF(Fit_index=2,LE_data,SFA_data)))</f>
        <v>2.4</v>
      </c>
      <c r="C3" s="118">
        <f t="shared" ref="C3:C32" si="3">IF(ISBLANK(KV_data),"",(LS+US)/2+(US-LS)/2*TANH((Temperatures-DBTT_TANH)/C_TANH))</f>
        <v>2.165096000177769</v>
      </c>
      <c r="D3" s="119">
        <f t="shared" ref="D3:D32" si="4">IF(ISBLANK(KV_data),"",$B3-$C3)</f>
        <v>0.23490399982223087</v>
      </c>
      <c r="E3" s="93"/>
      <c r="T3" s="120">
        <f>T2+10</f>
        <v>-90</v>
      </c>
      <c r="U3" s="115">
        <f t="shared" si="0"/>
        <v>2.0851279040338753</v>
      </c>
      <c r="V3" s="85"/>
      <c r="W3" s="85"/>
    </row>
    <row r="4" spans="1:23">
      <c r="A4" s="121">
        <f t="shared" si="1"/>
        <v>-50</v>
      </c>
      <c r="B4" s="122">
        <f t="shared" si="2"/>
        <v>4.13</v>
      </c>
      <c r="C4" s="122">
        <f t="shared" si="3"/>
        <v>3.1907979306856973</v>
      </c>
      <c r="D4" s="123">
        <f t="shared" si="4"/>
        <v>0.93920206931430261</v>
      </c>
      <c r="E4" s="93"/>
      <c r="T4" s="120">
        <f t="shared" ref="T4:T52" si="5">T3+10</f>
        <v>-80</v>
      </c>
      <c r="U4" s="115">
        <f t="shared" si="0"/>
        <v>2.165096000177769</v>
      </c>
      <c r="V4" s="85"/>
      <c r="W4" s="85"/>
    </row>
    <row r="5" spans="1:23">
      <c r="A5" s="121">
        <f t="shared" si="1"/>
        <v>-35</v>
      </c>
      <c r="B5" s="122">
        <f t="shared" si="2"/>
        <v>4.13</v>
      </c>
      <c r="C5" s="115">
        <f t="shared" si="3"/>
        <v>5.1315426658260748</v>
      </c>
      <c r="D5" s="123">
        <f t="shared" si="4"/>
        <v>-1.0015426658260749</v>
      </c>
      <c r="E5" s="93"/>
      <c r="T5" s="120">
        <f t="shared" si="5"/>
        <v>-70</v>
      </c>
      <c r="U5" s="115">
        <f t="shared" si="0"/>
        <v>2.3198444078267642</v>
      </c>
      <c r="V5" s="85"/>
      <c r="W5" s="85"/>
    </row>
    <row r="6" spans="1:23">
      <c r="A6" s="121">
        <f t="shared" si="1"/>
        <v>-15</v>
      </c>
      <c r="B6" s="122">
        <f t="shared" si="2"/>
        <v>10.210000000000001</v>
      </c>
      <c r="C6" s="115">
        <f t="shared" si="3"/>
        <v>12.513580279062538</v>
      </c>
      <c r="D6" s="123">
        <f t="shared" si="4"/>
        <v>-2.3035802790625368</v>
      </c>
      <c r="E6" s="93"/>
      <c r="T6" s="120">
        <f t="shared" si="5"/>
        <v>-60</v>
      </c>
      <c r="U6" s="115">
        <f t="shared" si="0"/>
        <v>2.6183687926036114</v>
      </c>
      <c r="V6" s="85"/>
      <c r="W6" s="85"/>
    </row>
    <row r="7" spans="1:23">
      <c r="A7" s="121">
        <f t="shared" si="1"/>
        <v>0</v>
      </c>
      <c r="B7" s="122">
        <f t="shared" si="2"/>
        <v>27.99</v>
      </c>
      <c r="C7" s="115">
        <f t="shared" si="3"/>
        <v>24.68314561057587</v>
      </c>
      <c r="D7" s="123">
        <f t="shared" si="4"/>
        <v>3.306854389424128</v>
      </c>
      <c r="E7" s="93"/>
      <c r="T7" s="120">
        <f t="shared" si="5"/>
        <v>-50</v>
      </c>
      <c r="U7" s="115">
        <f t="shared" si="0"/>
        <v>3.1907979306856973</v>
      </c>
      <c r="V7" s="85"/>
      <c r="W7" s="85"/>
    </row>
    <row r="8" spans="1:23">
      <c r="A8" s="121">
        <f t="shared" si="1"/>
        <v>10</v>
      </c>
      <c r="B8" s="122">
        <f t="shared" si="2"/>
        <v>34.25</v>
      </c>
      <c r="C8" s="115">
        <f t="shared" si="3"/>
        <v>35.812589937272627</v>
      </c>
      <c r="D8" s="123">
        <f t="shared" si="4"/>
        <v>-1.5625899372726266</v>
      </c>
      <c r="E8" s="93"/>
      <c r="T8" s="120">
        <f t="shared" si="5"/>
        <v>-40</v>
      </c>
      <c r="U8" s="115">
        <f t="shared" si="0"/>
        <v>4.275896961138308</v>
      </c>
      <c r="V8" s="85"/>
      <c r="W8" s="85"/>
    </row>
    <row r="9" spans="1:23">
      <c r="A9" s="121">
        <f t="shared" si="1"/>
        <v>21</v>
      </c>
      <c r="B9" s="122">
        <f t="shared" si="2"/>
        <v>48.86</v>
      </c>
      <c r="C9" s="115">
        <f t="shared" si="3"/>
        <v>48.314412457252864</v>
      </c>
      <c r="D9" s="123">
        <f t="shared" si="4"/>
        <v>0.5455875427471355</v>
      </c>
      <c r="E9" s="93"/>
      <c r="T9" s="120">
        <f t="shared" si="5"/>
        <v>-30</v>
      </c>
      <c r="U9" s="115">
        <f t="shared" si="0"/>
        <v>6.2886851838442972</v>
      </c>
      <c r="V9" s="85"/>
      <c r="W9" s="85"/>
    </row>
    <row r="10" spans="1:23">
      <c r="A10" s="121">
        <f t="shared" si="1"/>
        <v>40</v>
      </c>
      <c r="B10" s="122">
        <f t="shared" si="2"/>
        <v>61.88</v>
      </c>
      <c r="C10" s="115">
        <f t="shared" si="3"/>
        <v>63.465391654649224</v>
      </c>
      <c r="D10" s="123">
        <f t="shared" si="4"/>
        <v>-1.5853916546492215</v>
      </c>
      <c r="E10" s="93"/>
      <c r="T10" s="120">
        <f t="shared" si="5"/>
        <v>-20</v>
      </c>
      <c r="U10" s="115">
        <f t="shared" si="0"/>
        <v>9.8763688530092715</v>
      </c>
      <c r="V10" s="85"/>
      <c r="W10" s="85"/>
    </row>
    <row r="11" spans="1:23">
      <c r="A11" s="121">
        <f t="shared" si="1"/>
        <v>76</v>
      </c>
      <c r="B11" s="122">
        <f t="shared" si="2"/>
        <v>74.290000000000006</v>
      </c>
      <c r="C11" s="115">
        <f t="shared" si="3"/>
        <v>71.652446858234384</v>
      </c>
      <c r="D11" s="123">
        <f t="shared" si="4"/>
        <v>2.6375531417656219</v>
      </c>
      <c r="E11" s="93"/>
      <c r="T11" s="120">
        <f t="shared" si="5"/>
        <v>-10</v>
      </c>
      <c r="U11" s="115">
        <f t="shared" si="0"/>
        <v>15.838984372016579</v>
      </c>
      <c r="V11" s="85"/>
      <c r="W11" s="85"/>
    </row>
    <row r="12" spans="1:23">
      <c r="A12" s="121">
        <f t="shared" si="1"/>
        <v>100</v>
      </c>
      <c r="B12" s="122">
        <f t="shared" si="2"/>
        <v>75.22</v>
      </c>
      <c r="C12" s="115">
        <f t="shared" si="3"/>
        <v>72.407133341109017</v>
      </c>
      <c r="D12" s="123">
        <f t="shared" si="4"/>
        <v>2.8128666588909823</v>
      </c>
      <c r="E12" s="93"/>
      <c r="T12" s="120">
        <f t="shared" si="5"/>
        <v>0</v>
      </c>
      <c r="U12" s="115">
        <f t="shared" si="0"/>
        <v>24.68314561057587</v>
      </c>
      <c r="V12" s="85"/>
      <c r="W12" s="85"/>
    </row>
    <row r="13" spans="1:23">
      <c r="A13" s="121">
        <f t="shared" si="1"/>
        <v>148</v>
      </c>
      <c r="B13" s="122">
        <f t="shared" si="2"/>
        <v>71.5</v>
      </c>
      <c r="C13" s="115">
        <f t="shared" si="3"/>
        <v>72.594393217347374</v>
      </c>
      <c r="D13" s="123">
        <f t="shared" si="4"/>
        <v>-1.094393217347374</v>
      </c>
      <c r="E13" s="93"/>
      <c r="T13" s="120">
        <f t="shared" si="5"/>
        <v>10</v>
      </c>
      <c r="U13" s="115">
        <f t="shared" si="0"/>
        <v>35.812589937272627</v>
      </c>
      <c r="V13" s="85"/>
      <c r="W13" s="85"/>
    </row>
    <row r="14" spans="1:23">
      <c r="A14" s="121">
        <f t="shared" si="1"/>
        <v>198</v>
      </c>
      <c r="B14" s="122">
        <f t="shared" si="2"/>
        <v>69.400000000000006</v>
      </c>
      <c r="C14" s="115">
        <f t="shared" si="3"/>
        <v>72.602206160858373</v>
      </c>
      <c r="D14" s="123">
        <f t="shared" si="4"/>
        <v>-3.202206160858367</v>
      </c>
      <c r="E14" s="93"/>
      <c r="T14" s="120">
        <f t="shared" si="5"/>
        <v>20</v>
      </c>
      <c r="U14" s="115">
        <f t="shared" si="0"/>
        <v>47.246606756427802</v>
      </c>
      <c r="V14" s="85"/>
      <c r="W14" s="85"/>
    </row>
    <row r="15" spans="1:23">
      <c r="A15" s="121" t="e">
        <f t="shared" si="1"/>
        <v>#N/A</v>
      </c>
      <c r="B15" s="122" t="e">
        <f t="shared" si="2"/>
        <v>#N/A</v>
      </c>
      <c r="C15" s="115" t="str">
        <f t="shared" si="3"/>
        <v/>
      </c>
      <c r="D15" s="123" t="str">
        <f t="shared" si="4"/>
        <v/>
      </c>
      <c r="E15" s="93"/>
      <c r="T15" s="120">
        <f t="shared" si="5"/>
        <v>30</v>
      </c>
      <c r="U15" s="115">
        <f t="shared" si="0"/>
        <v>56.788975095547784</v>
      </c>
      <c r="V15" s="85"/>
      <c r="W15" s="85"/>
    </row>
    <row r="16" spans="1:23">
      <c r="A16" s="121" t="e">
        <f t="shared" si="1"/>
        <v>#N/A</v>
      </c>
      <c r="B16" s="122" t="e">
        <f t="shared" si="2"/>
        <v>#N/A</v>
      </c>
      <c r="C16" s="115" t="str">
        <f t="shared" si="3"/>
        <v/>
      </c>
      <c r="D16" s="123" t="str">
        <f t="shared" si="4"/>
        <v/>
      </c>
      <c r="E16" s="93"/>
      <c r="T16" s="120">
        <f t="shared" si="5"/>
        <v>40</v>
      </c>
      <c r="U16" s="115">
        <f t="shared" si="0"/>
        <v>63.465391654649224</v>
      </c>
      <c r="V16" s="85"/>
      <c r="W16" s="85"/>
    </row>
    <row r="17" spans="1:23">
      <c r="A17" s="121" t="e">
        <f t="shared" si="1"/>
        <v>#N/A</v>
      </c>
      <c r="B17" s="122" t="e">
        <f t="shared" si="2"/>
        <v>#N/A</v>
      </c>
      <c r="C17" s="115" t="str">
        <f t="shared" si="3"/>
        <v/>
      </c>
      <c r="D17" s="123" t="str">
        <f t="shared" si="4"/>
        <v/>
      </c>
      <c r="E17" s="93"/>
      <c r="T17" s="120">
        <f t="shared" si="5"/>
        <v>50</v>
      </c>
      <c r="U17" s="115">
        <f t="shared" si="0"/>
        <v>67.581372667688669</v>
      </c>
      <c r="V17" s="85"/>
      <c r="W17" s="85"/>
    </row>
    <row r="18" spans="1:23">
      <c r="A18" s="121" t="e">
        <f t="shared" si="1"/>
        <v>#N/A</v>
      </c>
      <c r="B18" s="122" t="e">
        <f t="shared" si="2"/>
        <v>#N/A</v>
      </c>
      <c r="C18" s="115" t="str">
        <f t="shared" si="3"/>
        <v/>
      </c>
      <c r="D18" s="123" t="str">
        <f t="shared" si="4"/>
        <v/>
      </c>
      <c r="E18" s="93"/>
      <c r="T18" s="120">
        <f t="shared" si="5"/>
        <v>60</v>
      </c>
      <c r="U18" s="115">
        <f t="shared" si="0"/>
        <v>69.924029988055423</v>
      </c>
      <c r="V18" s="85"/>
      <c r="W18" s="85"/>
    </row>
    <row r="19" spans="1:23">
      <c r="A19" s="121" t="e">
        <f t="shared" si="1"/>
        <v>#N/A</v>
      </c>
      <c r="B19" s="122" t="e">
        <f t="shared" si="2"/>
        <v>#N/A</v>
      </c>
      <c r="C19" s="115" t="str">
        <f t="shared" si="3"/>
        <v/>
      </c>
      <c r="D19" s="123" t="str">
        <f t="shared" si="4"/>
        <v/>
      </c>
      <c r="E19" s="93"/>
      <c r="T19" s="120">
        <f t="shared" si="5"/>
        <v>70</v>
      </c>
      <c r="U19" s="115">
        <f t="shared" si="0"/>
        <v>71.197119350089181</v>
      </c>
      <c r="V19" s="85"/>
      <c r="W19" s="85"/>
    </row>
    <row r="20" spans="1:23">
      <c r="A20" s="121" t="e">
        <f t="shared" si="1"/>
        <v>#N/A</v>
      </c>
      <c r="B20" s="122" t="e">
        <f t="shared" si="2"/>
        <v>#N/A</v>
      </c>
      <c r="C20" s="115" t="str">
        <f t="shared" si="3"/>
        <v/>
      </c>
      <c r="D20" s="123" t="str">
        <f t="shared" si="4"/>
        <v/>
      </c>
      <c r="E20" s="93"/>
      <c r="T20" s="120">
        <f t="shared" si="5"/>
        <v>80</v>
      </c>
      <c r="U20" s="115">
        <f t="shared" si="0"/>
        <v>71.871614503804636</v>
      </c>
      <c r="V20" s="85"/>
      <c r="W20" s="85"/>
    </row>
    <row r="21" spans="1:23">
      <c r="A21" s="121" t="e">
        <f t="shared" si="1"/>
        <v>#N/A</v>
      </c>
      <c r="B21" s="122" t="e">
        <f t="shared" si="2"/>
        <v>#N/A</v>
      </c>
      <c r="C21" s="115" t="str">
        <f t="shared" si="3"/>
        <v/>
      </c>
      <c r="D21" s="123" t="str">
        <f t="shared" si="4"/>
        <v/>
      </c>
      <c r="E21" s="93"/>
      <c r="T21" s="120">
        <f t="shared" si="5"/>
        <v>90</v>
      </c>
      <c r="U21" s="115">
        <f t="shared" si="0"/>
        <v>72.224163925418338</v>
      </c>
      <c r="V21" s="85"/>
      <c r="W21" s="85"/>
    </row>
    <row r="22" spans="1:23">
      <c r="A22" s="121" t="e">
        <f t="shared" si="1"/>
        <v>#N/A</v>
      </c>
      <c r="B22" s="122" t="e">
        <f t="shared" si="2"/>
        <v>#N/A</v>
      </c>
      <c r="C22" s="115" t="str">
        <f t="shared" si="3"/>
        <v/>
      </c>
      <c r="D22" s="123" t="str">
        <f t="shared" si="4"/>
        <v/>
      </c>
      <c r="E22" s="93"/>
      <c r="T22" s="120">
        <f t="shared" si="5"/>
        <v>100</v>
      </c>
      <c r="U22" s="115">
        <f t="shared" si="0"/>
        <v>72.407133341109017</v>
      </c>
      <c r="V22" s="85"/>
      <c r="W22" s="85"/>
    </row>
    <row r="23" spans="1:23">
      <c r="A23" s="121" t="e">
        <f t="shared" si="1"/>
        <v>#N/A</v>
      </c>
      <c r="B23" s="122" t="e">
        <f t="shared" si="2"/>
        <v>#N/A</v>
      </c>
      <c r="C23" s="115" t="str">
        <f t="shared" si="3"/>
        <v/>
      </c>
      <c r="D23" s="123" t="str">
        <f t="shared" si="4"/>
        <v/>
      </c>
      <c r="E23" s="93"/>
      <c r="T23" s="120">
        <f t="shared" si="5"/>
        <v>110</v>
      </c>
      <c r="U23" s="115">
        <f t="shared" si="0"/>
        <v>72.501742762725712</v>
      </c>
      <c r="V23" s="85"/>
      <c r="W23" s="85"/>
    </row>
    <row r="24" spans="1:23">
      <c r="A24" s="121" t="e">
        <f t="shared" si="1"/>
        <v>#N/A</v>
      </c>
      <c r="B24" s="122" t="e">
        <f t="shared" si="2"/>
        <v>#N/A</v>
      </c>
      <c r="C24" s="115" t="str">
        <f t="shared" si="3"/>
        <v/>
      </c>
      <c r="D24" s="123" t="str">
        <f t="shared" si="4"/>
        <v/>
      </c>
      <c r="E24" s="93"/>
      <c r="T24" s="120">
        <f t="shared" si="5"/>
        <v>120</v>
      </c>
      <c r="U24" s="115">
        <f t="shared" si="0"/>
        <v>72.550569855012114</v>
      </c>
      <c r="V24" s="85"/>
      <c r="W24" s="85"/>
    </row>
    <row r="25" spans="1:23">
      <c r="A25" s="121" t="e">
        <f t="shared" si="1"/>
        <v>#N/A</v>
      </c>
      <c r="B25" s="122" t="e">
        <f t="shared" si="2"/>
        <v>#N/A</v>
      </c>
      <c r="C25" s="115" t="str">
        <f t="shared" si="3"/>
        <v/>
      </c>
      <c r="D25" s="123" t="str">
        <f t="shared" si="4"/>
        <v/>
      </c>
      <c r="E25" s="93"/>
      <c r="T25" s="120">
        <f t="shared" si="5"/>
        <v>130</v>
      </c>
      <c r="U25" s="115">
        <f t="shared" si="0"/>
        <v>72.575744252623494</v>
      </c>
      <c r="V25" s="85"/>
      <c r="W25" s="85"/>
    </row>
    <row r="26" spans="1:23">
      <c r="A26" s="121" t="e">
        <f t="shared" si="1"/>
        <v>#N/A</v>
      </c>
      <c r="B26" s="122" t="e">
        <f t="shared" si="2"/>
        <v>#N/A</v>
      </c>
      <c r="C26" s="115" t="str">
        <f t="shared" si="3"/>
        <v/>
      </c>
      <c r="D26" s="123" t="str">
        <f t="shared" si="4"/>
        <v/>
      </c>
      <c r="E26" s="93"/>
      <c r="T26" s="120">
        <f t="shared" si="5"/>
        <v>140</v>
      </c>
      <c r="U26" s="115">
        <f t="shared" si="0"/>
        <v>72.588717134432585</v>
      </c>
      <c r="V26" s="85"/>
      <c r="W26" s="85"/>
    </row>
    <row r="27" spans="1:23">
      <c r="A27" s="121" t="e">
        <f t="shared" si="1"/>
        <v>#N/A</v>
      </c>
      <c r="B27" s="122" t="e">
        <f t="shared" si="2"/>
        <v>#N/A</v>
      </c>
      <c r="C27" s="115" t="str">
        <f t="shared" si="3"/>
        <v/>
      </c>
      <c r="D27" s="123" t="str">
        <f t="shared" si="4"/>
        <v/>
      </c>
      <c r="E27" s="93"/>
      <c r="T27" s="120">
        <f t="shared" si="5"/>
        <v>150</v>
      </c>
      <c r="U27" s="115">
        <f t="shared" si="0"/>
        <v>72.595400573801598</v>
      </c>
      <c r="V27" s="85"/>
      <c r="W27" s="85"/>
    </row>
    <row r="28" spans="1:23">
      <c r="A28" s="121" t="e">
        <f t="shared" si="1"/>
        <v>#N/A</v>
      </c>
      <c r="B28" s="122" t="e">
        <f t="shared" si="2"/>
        <v>#N/A</v>
      </c>
      <c r="C28" s="115" t="str">
        <f t="shared" si="3"/>
        <v/>
      </c>
      <c r="D28" s="123" t="str">
        <f t="shared" si="4"/>
        <v/>
      </c>
      <c r="E28" s="93"/>
      <c r="T28" s="120">
        <f t="shared" si="5"/>
        <v>160</v>
      </c>
      <c r="U28" s="115">
        <f t="shared" si="0"/>
        <v>72.598843319307448</v>
      </c>
      <c r="V28" s="85"/>
      <c r="W28" s="85"/>
    </row>
    <row r="29" spans="1:23">
      <c r="A29" s="121" t="e">
        <f t="shared" si="1"/>
        <v>#N/A</v>
      </c>
      <c r="B29" s="122" t="e">
        <f t="shared" si="2"/>
        <v>#N/A</v>
      </c>
      <c r="C29" s="115" t="str">
        <f t="shared" si="3"/>
        <v/>
      </c>
      <c r="D29" s="123" t="str">
        <f t="shared" si="4"/>
        <v/>
      </c>
      <c r="E29" s="93"/>
      <c r="T29" s="120">
        <f t="shared" si="5"/>
        <v>170</v>
      </c>
      <c r="U29" s="115">
        <f t="shared" si="0"/>
        <v>72.600616608708265</v>
      </c>
      <c r="V29" s="85"/>
      <c r="W29" s="85"/>
    </row>
    <row r="30" spans="1:23">
      <c r="A30" s="121" t="e">
        <f t="shared" si="1"/>
        <v>#N/A</v>
      </c>
      <c r="B30" s="122" t="e">
        <f t="shared" si="2"/>
        <v>#N/A</v>
      </c>
      <c r="C30" s="115" t="str">
        <f t="shared" si="3"/>
        <v/>
      </c>
      <c r="D30" s="123" t="str">
        <f t="shared" si="4"/>
        <v/>
      </c>
      <c r="E30" s="93"/>
      <c r="T30" s="120">
        <f t="shared" si="5"/>
        <v>180</v>
      </c>
      <c r="U30" s="115">
        <f t="shared" si="0"/>
        <v>72.60152996191097</v>
      </c>
      <c r="V30" s="85"/>
      <c r="W30" s="85"/>
    </row>
    <row r="31" spans="1:23">
      <c r="A31" s="121" t="e">
        <f t="shared" si="1"/>
        <v>#N/A</v>
      </c>
      <c r="B31" s="122" t="e">
        <f t="shared" si="2"/>
        <v>#N/A</v>
      </c>
      <c r="C31" s="115" t="str">
        <f t="shared" si="3"/>
        <v/>
      </c>
      <c r="D31" s="123" t="str">
        <f t="shared" si="4"/>
        <v/>
      </c>
      <c r="E31" s="93"/>
      <c r="T31" s="120">
        <f t="shared" si="5"/>
        <v>190</v>
      </c>
      <c r="U31" s="115">
        <f t="shared" si="0"/>
        <v>72.602000386353666</v>
      </c>
      <c r="V31" s="85"/>
      <c r="W31" s="85"/>
    </row>
    <row r="32" spans="1:23" ht="15.75" thickBot="1">
      <c r="A32" s="124" t="e">
        <f t="shared" si="1"/>
        <v>#N/A</v>
      </c>
      <c r="B32" s="125" t="e">
        <f t="shared" si="2"/>
        <v>#N/A</v>
      </c>
      <c r="C32" s="126" t="str">
        <f t="shared" si="3"/>
        <v/>
      </c>
      <c r="D32" s="127" t="str">
        <f t="shared" si="4"/>
        <v/>
      </c>
      <c r="E32" s="93"/>
      <c r="T32" s="120">
        <f t="shared" si="5"/>
        <v>200</v>
      </c>
      <c r="U32" s="115">
        <f t="shared" si="0"/>
        <v>72.602242677125929</v>
      </c>
      <c r="V32" s="85"/>
      <c r="W32" s="85"/>
    </row>
    <row r="33" spans="1:23">
      <c r="T33" s="120">
        <f>T32+10</f>
        <v>210</v>
      </c>
      <c r="U33" s="115">
        <f t="shared" si="0"/>
        <v>72.602367467688651</v>
      </c>
      <c r="V33" s="85"/>
      <c r="W33" s="85"/>
    </row>
    <row r="34" spans="1:23">
      <c r="C34" s="94"/>
      <c r="F34" s="95"/>
      <c r="T34" s="120">
        <f t="shared" si="5"/>
        <v>220</v>
      </c>
      <c r="U34" s="115">
        <f t="shared" ref="U34:U52" si="6">(LS+US)/2+(US-LS)/2*TANH(($T34-$B$35)/$B$36)</f>
        <v>72.602431740236625</v>
      </c>
      <c r="V34" s="85"/>
      <c r="W34" s="85"/>
    </row>
    <row r="35" spans="1:23">
      <c r="A35" s="96" t="s">
        <v>22</v>
      </c>
      <c r="B35" s="168">
        <v>11.27188439101162</v>
      </c>
      <c r="C35" s="98" t="s">
        <v>9</v>
      </c>
      <c r="T35" s="120">
        <f t="shared" si="5"/>
        <v>230</v>
      </c>
      <c r="U35" s="115">
        <f t="shared" si="6"/>
        <v>72.602464843341281</v>
      </c>
      <c r="V35" s="85"/>
      <c r="W35" s="85"/>
    </row>
    <row r="36" spans="1:23">
      <c r="A36" s="96" t="s">
        <v>14</v>
      </c>
      <c r="B36" s="168">
        <v>30.142866254820387</v>
      </c>
      <c r="C36" s="98" t="s">
        <v>9</v>
      </c>
      <c r="T36" s="120">
        <f t="shared" si="5"/>
        <v>240</v>
      </c>
      <c r="U36" s="115">
        <f t="shared" si="6"/>
        <v>72.602481892841254</v>
      </c>
      <c r="V36" s="85"/>
      <c r="W36" s="85"/>
    </row>
    <row r="37" spans="1:23">
      <c r="A37" s="96"/>
      <c r="B37" s="99"/>
      <c r="C37" s="98"/>
      <c r="E37" s="100">
        <f>DBTT_TANH</f>
        <v>11.27188439101162</v>
      </c>
      <c r="F37" s="100">
        <v>0</v>
      </c>
      <c r="T37" s="120">
        <f t="shared" si="5"/>
        <v>250</v>
      </c>
      <c r="U37" s="115">
        <f t="shared" si="6"/>
        <v>72.602490674052319</v>
      </c>
      <c r="V37" s="85"/>
      <c r="W37" s="85"/>
    </row>
    <row r="38" spans="1:23" ht="15.75" thickBot="1">
      <c r="E38" s="100">
        <f>E37</f>
        <v>11.27188439101162</v>
      </c>
      <c r="F38" s="100">
        <f>(LS+US)/2</f>
        <v>37.301249999999996</v>
      </c>
      <c r="G38" s="101"/>
      <c r="H38" s="101"/>
      <c r="T38" s="120">
        <f t="shared" si="5"/>
        <v>260</v>
      </c>
      <c r="U38" s="115">
        <f t="shared" si="6"/>
        <v>72.602495196745338</v>
      </c>
      <c r="V38" s="85"/>
      <c r="W38" s="85"/>
    </row>
    <row r="39" spans="1:23" ht="15.75" thickBot="1">
      <c r="A39" s="102" t="s">
        <v>10</v>
      </c>
      <c r="B39" s="128">
        <f>SUMSQ(Residual_TANH)</f>
        <v>49.755682187197579</v>
      </c>
      <c r="C39" s="103" t="s">
        <v>38</v>
      </c>
      <c r="F39" s="187" t="s">
        <v>60</v>
      </c>
      <c r="G39" s="188"/>
      <c r="T39" s="120">
        <f t="shared" si="5"/>
        <v>270</v>
      </c>
      <c r="U39" s="115">
        <f t="shared" si="6"/>
        <v>72.602497526122221</v>
      </c>
      <c r="V39" s="85"/>
      <c r="W39" s="85"/>
    </row>
    <row r="40" spans="1:23">
      <c r="A40" s="102" t="s">
        <v>17</v>
      </c>
      <c r="B40" s="114">
        <f>COUNT(Fit_TANH)-2</f>
        <v>10</v>
      </c>
      <c r="C40" s="104" t="s">
        <v>37</v>
      </c>
      <c r="F40" s="105" t="str">
        <f>IF(Fit_index=1,"KV (J)",IF(Fit_index=2,"LE (mm)","SFA (%)"))</f>
        <v>KV (J)</v>
      </c>
      <c r="G40" s="106" t="s">
        <v>56</v>
      </c>
      <c r="T40" s="120">
        <f t="shared" si="5"/>
        <v>280</v>
      </c>
      <c r="U40" s="115">
        <f t="shared" si="6"/>
        <v>72.602498725849117</v>
      </c>
      <c r="V40" s="85"/>
    </row>
    <row r="41" spans="1:23">
      <c r="A41" s="102" t="s">
        <v>39</v>
      </c>
      <c r="B41" s="129">
        <f>SQRT(SSR_TANH/df_TANH)</f>
        <v>2.2305981750911026</v>
      </c>
      <c r="C41" s="85" t="str">
        <f>IF('Input data'!$I$3=1,"J (root mean square error)",IF('Input data'!$I$3=2,"mm (root mean square error)","% (root mean square error)"))</f>
        <v>J (root mean square error)</v>
      </c>
      <c r="F41" s="169">
        <v>28</v>
      </c>
      <c r="G41" s="130">
        <f>IF(ISBLANK(F41),"",IFERROR(DBTT_TANH+C_TANH*ATANH((F41-((LS+US)/2))/((US-LS)/2)),"N/A"))</f>
        <v>3.1379318068395694</v>
      </c>
      <c r="T41" s="120">
        <f t="shared" si="5"/>
        <v>290</v>
      </c>
      <c r="U41" s="115">
        <f t="shared" si="6"/>
        <v>72.602499343758822</v>
      </c>
      <c r="V41" s="85"/>
    </row>
    <row r="42" spans="1:23" ht="15.75" thickBot="1">
      <c r="F42" s="170">
        <v>41</v>
      </c>
      <c r="G42" s="131">
        <f>IF(ISBLANK(F42),"",IFERROR(DBTT_TANH+C_TANH*ATANH((F42-((LS+US)/2))/((US-LS)/2)),"N/A"))</f>
        <v>14.441789814291557</v>
      </c>
      <c r="T42" s="120">
        <f t="shared" si="5"/>
        <v>300</v>
      </c>
      <c r="U42" s="115">
        <f t="shared" si="6"/>
        <v>72.602499662008256</v>
      </c>
      <c r="V42" s="85"/>
    </row>
    <row r="43" spans="1:23">
      <c r="A43" s="107"/>
      <c r="B43" s="108"/>
      <c r="C43" s="109"/>
      <c r="D43" s="110"/>
      <c r="T43" s="120">
        <f t="shared" si="5"/>
        <v>310</v>
      </c>
      <c r="U43" s="115">
        <f t="shared" si="6"/>
        <v>72.602499825920063</v>
      </c>
      <c r="V43" s="85"/>
    </row>
    <row r="44" spans="1:23" ht="15.75" thickBot="1">
      <c r="T44" s="120">
        <f t="shared" si="5"/>
        <v>320</v>
      </c>
      <c r="U44" s="115">
        <f t="shared" si="6"/>
        <v>72.602499910341521</v>
      </c>
      <c r="V44" s="85"/>
    </row>
    <row r="45" spans="1:23" ht="15.75" thickBot="1">
      <c r="B45" s="111" t="s">
        <v>44</v>
      </c>
      <c r="C45" s="132">
        <f>2*(COUNT(B35:B37)+1)+COUNT(Temperatures)*LN(SSR_TANH/COUNT(Temperatures))</f>
        <v>23.066616265351531</v>
      </c>
      <c r="D45" s="185" t="s">
        <v>52</v>
      </c>
      <c r="E45" s="186"/>
      <c r="F45" s="186"/>
      <c r="T45" s="120">
        <f t="shared" si="5"/>
        <v>330</v>
      </c>
      <c r="U45" s="115">
        <f t="shared" si="6"/>
        <v>72.602499953822118</v>
      </c>
      <c r="V45" s="85"/>
      <c r="W45" s="85"/>
    </row>
    <row r="46" spans="1:23" ht="15.75" thickBot="1">
      <c r="B46" s="111" t="s">
        <v>46</v>
      </c>
      <c r="C46" s="132">
        <f>(COUNT(B35:B37)+1)*LN(COUNT(Temperatures))+COUNT(Temperatures)*LN(SSR_TANH/COUNT(Temperatures))</f>
        <v>24.521336214715532</v>
      </c>
      <c r="D46" s="185" t="s">
        <v>53</v>
      </c>
      <c r="E46" s="186"/>
      <c r="F46" s="186"/>
      <c r="T46" s="120">
        <f t="shared" si="5"/>
        <v>340</v>
      </c>
      <c r="U46" s="115">
        <f t="shared" si="6"/>
        <v>72.60249997621645</v>
      </c>
      <c r="V46" s="85"/>
      <c r="W46" s="85"/>
    </row>
    <row r="47" spans="1:23">
      <c r="T47" s="120">
        <f t="shared" si="5"/>
        <v>350</v>
      </c>
      <c r="U47" s="115">
        <f t="shared" si="6"/>
        <v>72.602499987750477</v>
      </c>
      <c r="V47" s="85"/>
      <c r="W47" s="85"/>
    </row>
    <row r="48" spans="1:23">
      <c r="T48" s="120">
        <f t="shared" si="5"/>
        <v>360</v>
      </c>
      <c r="U48" s="115">
        <f t="shared" si="6"/>
        <v>72.602499993690969</v>
      </c>
      <c r="V48" s="85"/>
      <c r="W48" s="85"/>
    </row>
    <row r="49" spans="20:23">
      <c r="T49" s="120">
        <f t="shared" si="5"/>
        <v>370</v>
      </c>
      <c r="U49" s="115">
        <f t="shared" si="6"/>
        <v>72.602499996750581</v>
      </c>
      <c r="V49" s="85"/>
      <c r="W49" s="85"/>
    </row>
    <row r="50" spans="20:23">
      <c r="T50" s="120">
        <f t="shared" si="5"/>
        <v>380</v>
      </c>
      <c r="U50" s="115">
        <f t="shared" si="6"/>
        <v>72.602499998326408</v>
      </c>
      <c r="V50" s="85"/>
      <c r="W50" s="85"/>
    </row>
    <row r="51" spans="20:23">
      <c r="T51" s="120">
        <f t="shared" si="5"/>
        <v>390</v>
      </c>
      <c r="U51" s="115">
        <f t="shared" si="6"/>
        <v>72.602499999138018</v>
      </c>
      <c r="V51" s="85"/>
      <c r="W51" s="85"/>
    </row>
    <row r="52" spans="20:23">
      <c r="T52" s="120">
        <f t="shared" si="5"/>
        <v>400</v>
      </c>
      <c r="U52" s="115">
        <f t="shared" si="6"/>
        <v>72.602499999556045</v>
      </c>
      <c r="V52" s="85"/>
      <c r="W52" s="85"/>
    </row>
    <row r="57" spans="20:23">
      <c r="U57" s="113">
        <f>NORMSINV(0.05)</f>
        <v>-1.6448536269514726</v>
      </c>
      <c r="V57" s="113" t="e">
        <f>PERCENTILE(#REF!,0.05)</f>
        <v>#REF!</v>
      </c>
    </row>
    <row r="58" spans="20:23">
      <c r="U58" s="113">
        <f>NORMSINV(0.95)</f>
        <v>1.6448536269514715</v>
      </c>
      <c r="V58" s="113" t="e">
        <f>PERCENTILE(#REF!,0.95)</f>
        <v>#REF!</v>
      </c>
    </row>
    <row r="88" spans="17:18">
      <c r="Q88" s="100">
        <v>0</v>
      </c>
      <c r="R88" s="100">
        <v>0</v>
      </c>
    </row>
    <row r="89" spans="17:18">
      <c r="Q89" s="100">
        <v>100</v>
      </c>
      <c r="R89" s="100">
        <v>100</v>
      </c>
    </row>
  </sheetData>
  <sheetProtection sheet="1" scenarios="1"/>
  <mergeCells count="3">
    <mergeCell ref="D45:F45"/>
    <mergeCell ref="D46:F46"/>
    <mergeCell ref="F39:G39"/>
  </mergeCells>
  <conditionalFormatting sqref="D43">
    <cfRule type="expression" dxfId="14" priority="23">
      <formula>#REF!&lt;$B$36</formula>
    </cfRule>
  </conditionalFormatting>
  <conditionalFormatting sqref="A3:B32">
    <cfRule type="expression" dxfId="13" priority="6">
      <formula>ISNA($A3)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odule1.Fit_TANH">
                <anchor moveWithCells="1" sizeWithCells="1">
                  <from>
                    <xdr:col>3</xdr:col>
                    <xdr:colOff>0</xdr:colOff>
                    <xdr:row>33</xdr:row>
                    <xdr:rowOff>133350</xdr:rowOff>
                  </from>
                  <to>
                    <xdr:col>4</xdr:col>
                    <xdr:colOff>114300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cale_auto">
                <anchor moveWithCells="1" sizeWithCells="1">
                  <from>
                    <xdr:col>4</xdr:col>
                    <xdr:colOff>476250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Scale_SFA">
                <anchor moveWithCells="1" sizeWithCells="1">
                  <from>
                    <xdr:col>4</xdr:col>
                    <xdr:colOff>476250</xdr:colOff>
                    <xdr:row>2</xdr:row>
                    <xdr:rowOff>0</xdr:rowOff>
                  </from>
                  <to>
                    <xdr:col>6</xdr:col>
                    <xdr:colOff>0</xdr:colOff>
                    <xdr:row>4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E04980-0FD0-49D5-9BD2-7B9DDDCA5425}">
  <sheetPr codeName="Sheet3"/>
  <dimension ref="A1:DH142"/>
  <sheetViews>
    <sheetView topLeftCell="A19" workbookViewId="0">
      <selection activeCell="B37" sqref="B37"/>
    </sheetView>
  </sheetViews>
  <sheetFormatPr defaultRowHeight="15"/>
  <cols>
    <col min="1" max="1" width="9.140625" style="85"/>
    <col min="2" max="2" width="9.140625" style="85" customWidth="1"/>
    <col min="3" max="4" width="9.140625" style="85"/>
    <col min="5" max="6" width="10.7109375" style="85" customWidth="1"/>
    <col min="7" max="7" width="9.140625" style="85"/>
    <col min="8" max="8" width="9.140625" style="85" customWidth="1"/>
    <col min="9" max="21" width="9.140625" style="85"/>
    <col min="22" max="23" width="8.85546875" style="86"/>
    <col min="24" max="25" width="9.140625" style="85"/>
    <col min="26" max="27" width="9.140625" style="50"/>
    <col min="28" max="28" width="12.7109375" style="50" bestFit="1" customWidth="1"/>
    <col min="29" max="38" width="9.140625" style="50"/>
    <col min="39" max="39" width="9.5703125" style="50" bestFit="1" customWidth="1"/>
    <col min="40" max="51" width="9.140625" style="50"/>
    <col min="52" max="52" width="9.42578125" style="50" bestFit="1" customWidth="1"/>
    <col min="53" max="53" width="9.140625" style="50" customWidth="1"/>
    <col min="54" max="54" width="9.5703125" style="50" bestFit="1" customWidth="1"/>
    <col min="55" max="55" width="9.140625" style="50" customWidth="1"/>
    <col min="56" max="61" width="9.42578125" style="50" bestFit="1" customWidth="1"/>
    <col min="62" max="62" width="12.7109375" style="50" bestFit="1" customWidth="1"/>
    <col min="63" max="63" width="9.140625" style="50" customWidth="1"/>
    <col min="64" max="81" width="9.42578125" style="50" bestFit="1" customWidth="1"/>
    <col min="82" max="112" width="9.140625" style="50"/>
    <col min="113" max="16384" width="9.140625" style="85"/>
  </cols>
  <sheetData>
    <row r="1" spans="1:112" ht="15.75" thickBot="1">
      <c r="A1" s="80" t="s">
        <v>0</v>
      </c>
      <c r="B1" s="81" t="str">
        <f>IF('Input data'!$I$3=1,"KV",IF('Input data'!$I$3=2,"LE","SFA"))</f>
        <v>KV</v>
      </c>
      <c r="C1" s="82" t="s">
        <v>8</v>
      </c>
      <c r="D1" s="83" t="s">
        <v>11</v>
      </c>
      <c r="E1" s="84"/>
      <c r="T1" s="86" t="s">
        <v>12</v>
      </c>
      <c r="U1" s="86" t="s">
        <v>13</v>
      </c>
      <c r="V1" s="85"/>
      <c r="W1" s="85"/>
      <c r="X1" s="50"/>
      <c r="Y1" s="50"/>
      <c r="DG1" s="85"/>
      <c r="DH1" s="85"/>
    </row>
    <row r="2" spans="1:112" ht="16.5" thickTop="1" thickBot="1">
      <c r="A2" s="87" t="s">
        <v>4</v>
      </c>
      <c r="B2" s="88" t="str">
        <f>IF('Input data'!$I$3=1,"(J)",IF('Input data'!$I$3=2,"(mm)","(%)"))</f>
        <v>(J)</v>
      </c>
      <c r="C2" s="89" t="str">
        <f>IF('Input data'!$I$3=1,"(J)",IF('Input data'!$I$3=2,"(mm)","(%)"))</f>
        <v>(J)</v>
      </c>
      <c r="D2" s="90" t="str">
        <f>IF('Input data'!$I$3=1,"(J)",IF('Input data'!$I$3=2,"(mm)","(%)"))</f>
        <v>(J)</v>
      </c>
      <c r="E2" s="91"/>
      <c r="T2" s="92">
        <v>-200</v>
      </c>
      <c r="U2" s="115">
        <f t="shared" ref="U2:U33" si="0">(LS+US)/2+(US-LS)/2*TANH(($T2-$B$35)/($B$36+$B$37*$T2))</f>
        <v>72.60126046554096</v>
      </c>
      <c r="V2" s="85"/>
      <c r="W2" s="85"/>
      <c r="X2" s="50"/>
      <c r="Y2" s="50"/>
      <c r="DG2" s="85"/>
      <c r="DH2" s="85"/>
    </row>
    <row r="3" spans="1:112">
      <c r="A3" s="116">
        <f>IF(ISBLANK('Input data'!$A3),NA(),'Input data'!$A3)</f>
        <v>-80</v>
      </c>
      <c r="B3" s="117">
        <f>IF(ISBLANK('Input data'!$A3),NA(),IF('Input data'!$I$3=1,'Input data'!$B3,IF('Input data'!$I$3=2,'Input data'!$C3,'Input data'!$D3)))</f>
        <v>2.4</v>
      </c>
      <c r="C3" s="118">
        <f>IF(ISBLANK('Input data'!$B3),"",(LS+US)/2+(US-LS)/2*TANH(($A3-DBTT_ATANH)/(C_ATANH+D_ATANH*$A3)))</f>
        <v>2</v>
      </c>
      <c r="D3" s="119">
        <f>IF(ISBLANK('Input data'!$B3),"",$B3-$C3)</f>
        <v>0.39999999999999991</v>
      </c>
      <c r="E3" s="93"/>
      <c r="T3" s="120">
        <f>T2+10</f>
        <v>-190</v>
      </c>
      <c r="U3" s="115">
        <f t="shared" si="0"/>
        <v>72.601676386233436</v>
      </c>
      <c r="V3" s="85"/>
      <c r="W3" s="85"/>
      <c r="X3" s="50"/>
      <c r="Y3" s="50"/>
      <c r="DG3" s="85"/>
      <c r="DH3" s="85"/>
    </row>
    <row r="4" spans="1:112">
      <c r="A4" s="121">
        <f>IF(ISBLANK('Input data'!$A4),NA(),'Input data'!$A4)</f>
        <v>-50</v>
      </c>
      <c r="B4" s="122">
        <f>IF(ISBLANK('Input data'!$A4),NA(),IF('Input data'!$I$3=1,'Input data'!$B4,IF('Input data'!$I$3=2,'Input data'!$C4,'Input data'!$D4)))</f>
        <v>4.13</v>
      </c>
      <c r="C4" s="122">
        <f>IF(ISBLANK('Input data'!$B4),"",(LS+US)/2+(US-LS)/2*TANH(($A4-DBTT_ATANH)/(C_ATANH+D_ATANH*$A4)))</f>
        <v>2.0006915196138664</v>
      </c>
      <c r="D4" s="123">
        <f>IF(ISBLANK('Input data'!$B4),"",$B4-$C4)</f>
        <v>2.1293084803861335</v>
      </c>
      <c r="E4" s="93"/>
      <c r="T4" s="120">
        <f t="shared" ref="T4:T52" si="1">T3+10</f>
        <v>-180</v>
      </c>
      <c r="U4" s="115">
        <f t="shared" si="0"/>
        <v>72.601995709854606</v>
      </c>
      <c r="V4" s="85"/>
      <c r="W4" s="85"/>
      <c r="X4" s="50"/>
      <c r="Y4" s="50"/>
      <c r="DG4" s="85"/>
      <c r="DH4" s="85"/>
    </row>
    <row r="5" spans="1:112">
      <c r="A5" s="121">
        <f>IF(ISBLANK('Input data'!$A5),NA(),'Input data'!$A5)</f>
        <v>-35</v>
      </c>
      <c r="B5" s="122">
        <f>IF(ISBLANK('Input data'!$A5),NA(),IF('Input data'!$I$3=1,'Input data'!$B5,IF('Input data'!$I$3=2,'Input data'!$C5,'Input data'!$D5)))</f>
        <v>4.13</v>
      </c>
      <c r="C5" s="115">
        <f>IF(ISBLANK('Input data'!$B5),"",(LS+US)/2+(US-LS)/2*TANH(($A5-DBTT_ATANH)/(C_ATANH+D_ATANH*$A5)))</f>
        <v>2.2766860777707691</v>
      </c>
      <c r="D5" s="123">
        <f>IF(ISBLANK('Input data'!$B5),"",$B5-$C5)</f>
        <v>1.8533139222292307</v>
      </c>
      <c r="E5" s="93"/>
      <c r="T5" s="120">
        <f t="shared" si="1"/>
        <v>-170</v>
      </c>
      <c r="U5" s="115">
        <f t="shared" si="0"/>
        <v>72.602223118813058</v>
      </c>
      <c r="V5" s="85"/>
      <c r="W5" s="85"/>
      <c r="X5" s="50"/>
      <c r="Y5" s="50"/>
      <c r="DG5" s="85"/>
      <c r="DH5" s="85"/>
    </row>
    <row r="6" spans="1:112">
      <c r="A6" s="121">
        <f>IF(ISBLANK('Input data'!$A6),NA(),'Input data'!$A6)</f>
        <v>-15</v>
      </c>
      <c r="B6" s="122">
        <f>IF(ISBLANK('Input data'!$A6),NA(),IF('Input data'!$I$3=1,'Input data'!$B6,IF('Input data'!$I$3=2,'Input data'!$C6,'Input data'!$D6)))</f>
        <v>10.210000000000001</v>
      </c>
      <c r="C6" s="115">
        <f>IF(ISBLANK('Input data'!$B6),"",(LS+US)/2+(US-LS)/2*TANH(($A6-DBTT_ATANH)/(C_ATANH+D_ATANH*$A6)))</f>
        <v>11.606477910644628</v>
      </c>
      <c r="D6" s="123">
        <f>IF(ISBLANK('Input data'!$B6),"",$B6-$C6)</f>
        <v>-1.3964779106446272</v>
      </c>
      <c r="E6" s="93"/>
      <c r="T6" s="120">
        <f t="shared" si="1"/>
        <v>-160</v>
      </c>
      <c r="U6" s="115">
        <f t="shared" si="0"/>
        <v>72.60236913943109</v>
      </c>
      <c r="V6" s="85"/>
      <c r="W6" s="85"/>
      <c r="X6" s="50"/>
      <c r="Y6" s="50"/>
      <c r="DG6" s="85"/>
      <c r="DH6" s="85"/>
    </row>
    <row r="7" spans="1:112">
      <c r="A7" s="121">
        <f>IF(ISBLANK('Input data'!$A7),NA(),'Input data'!$A7)</f>
        <v>0</v>
      </c>
      <c r="B7" s="122">
        <f>IF(ISBLANK('Input data'!$A7),NA(),IF('Input data'!$I$3=1,'Input data'!$B7,IF('Input data'!$I$3=2,'Input data'!$C7,'Input data'!$D7)))</f>
        <v>27.99</v>
      </c>
      <c r="C7" s="115">
        <f>IF(ISBLANK('Input data'!$B7),"",(LS+US)/2+(US-LS)/2*TANH(($A7-DBTT_ATANH)/(C_ATANH+D_ATANH*$A7)))</f>
        <v>32.186961419216807</v>
      </c>
      <c r="D7" s="123">
        <f>IF(ISBLANK('Input data'!$B7),"",$B7-$C7)</f>
        <v>-4.1969614192168088</v>
      </c>
      <c r="E7" s="93"/>
      <c r="T7" s="120">
        <f t="shared" si="1"/>
        <v>-150</v>
      </c>
      <c r="U7" s="115">
        <f t="shared" si="0"/>
        <v>72.602450073871807</v>
      </c>
      <c r="V7" s="85"/>
      <c r="W7" s="85"/>
      <c r="X7" s="50"/>
      <c r="Y7" s="50"/>
      <c r="DG7" s="85"/>
      <c r="DH7" s="85"/>
    </row>
    <row r="8" spans="1:112">
      <c r="A8" s="121">
        <f>IF(ISBLANK('Input data'!$A8),NA(),'Input data'!$A8)</f>
        <v>10</v>
      </c>
      <c r="B8" s="122">
        <f>IF(ISBLANK('Input data'!$A8),NA(),IF('Input data'!$I$3=1,'Input data'!$B8,IF('Input data'!$I$3=2,'Input data'!$C8,'Input data'!$D8)))</f>
        <v>34.25</v>
      </c>
      <c r="C8" s="115">
        <f>IF(ISBLANK('Input data'!$B8),"",(LS+US)/2+(US-LS)/2*TANH(($A8-DBTT_ATANH)/(C_ATANH+D_ATANH*$A8)))</f>
        <v>45.241027369706366</v>
      </c>
      <c r="D8" s="123">
        <f>IF(ISBLANK('Input data'!$B8),"",$B8-$C8)</f>
        <v>-10.991027369706366</v>
      </c>
      <c r="E8" s="93"/>
      <c r="T8" s="120">
        <f t="shared" si="1"/>
        <v>-140</v>
      </c>
      <c r="U8" s="115">
        <f t="shared" si="0"/>
        <v>72.60248618493651</v>
      </c>
      <c r="V8" s="85"/>
      <c r="W8" s="85"/>
      <c r="X8" s="50"/>
      <c r="Y8" s="50"/>
      <c r="DG8" s="85"/>
      <c r="DH8" s="85"/>
    </row>
    <row r="9" spans="1:112">
      <c r="A9" s="121">
        <f>IF(ISBLANK('Input data'!$A9),NA(),'Input data'!$A9)</f>
        <v>21</v>
      </c>
      <c r="B9" s="122">
        <f>IF(ISBLANK('Input data'!$A9),NA(),IF('Input data'!$I$3=1,'Input data'!$B9,IF('Input data'!$I$3=2,'Input data'!$C9,'Input data'!$D9)))</f>
        <v>48.86</v>
      </c>
      <c r="C9" s="115">
        <f>IF(ISBLANK('Input data'!$B9),"",(LS+US)/2+(US-LS)/2*TANH(($A9-DBTT_ATANH)/(C_ATANH+D_ATANH*$A9)))</f>
        <v>55.110710537677939</v>
      </c>
      <c r="D9" s="123">
        <f>IF(ISBLANK('Input data'!$B9),"",$B9-$C9)</f>
        <v>-6.2507105376779393</v>
      </c>
      <c r="E9" s="93"/>
      <c r="T9" s="120">
        <f t="shared" si="1"/>
        <v>-130</v>
      </c>
      <c r="U9" s="115">
        <f t="shared" si="0"/>
        <v>72.602497713413527</v>
      </c>
      <c r="V9" s="85"/>
      <c r="W9" s="85"/>
      <c r="X9" s="50"/>
      <c r="Y9" s="50"/>
      <c r="DG9" s="85"/>
      <c r="DH9" s="85"/>
    </row>
    <row r="10" spans="1:112">
      <c r="A10" s="121">
        <f>IF(ISBLANK('Input data'!$A10),NA(),'Input data'!$A10)</f>
        <v>40</v>
      </c>
      <c r="B10" s="122">
        <f>IF(ISBLANK('Input data'!$A10),NA(),IF('Input data'!$I$3=1,'Input data'!$B10,IF('Input data'!$I$3=2,'Input data'!$C10,'Input data'!$D10)))</f>
        <v>61.88</v>
      </c>
      <c r="C10" s="115">
        <f>IF(ISBLANK('Input data'!$B10),"",(LS+US)/2+(US-LS)/2*TANH(($A10-DBTT_ATANH)/(C_ATANH+D_ATANH*$A10)))</f>
        <v>63.859175953898848</v>
      </c>
      <c r="D10" s="123">
        <f>IF(ISBLANK('Input data'!$B10),"",$B10-$C10)</f>
        <v>-1.9791759538988458</v>
      </c>
      <c r="E10" s="93"/>
      <c r="T10" s="120">
        <f t="shared" si="1"/>
        <v>-120</v>
      </c>
      <c r="U10" s="115">
        <f t="shared" si="0"/>
        <v>72.602499846028749</v>
      </c>
      <c r="V10" s="85"/>
      <c r="W10" s="85"/>
      <c r="X10" s="50"/>
      <c r="Y10" s="50"/>
      <c r="DG10" s="85"/>
      <c r="DH10" s="85"/>
    </row>
    <row r="11" spans="1:112">
      <c r="A11" s="121">
        <f>IF(ISBLANK('Input data'!$A11),NA(),'Input data'!$A11)</f>
        <v>76</v>
      </c>
      <c r="B11" s="122">
        <f>IF(ISBLANK('Input data'!$A11),NA(),IF('Input data'!$I$3=1,'Input data'!$B11,IF('Input data'!$I$3=2,'Input data'!$C11,'Input data'!$D11)))</f>
        <v>74.290000000000006</v>
      </c>
      <c r="C11" s="115">
        <f>IF(ISBLANK('Input data'!$B11),"",(LS+US)/2+(US-LS)/2*TANH(($A11-DBTT_ATANH)/(C_ATANH+D_ATANH*$A11)))</f>
        <v>69.235826927430082</v>
      </c>
      <c r="D11" s="123">
        <f>IF(ISBLANK('Input data'!$B11),"",$B11-$C11)</f>
        <v>5.0541730725699239</v>
      </c>
      <c r="E11" s="93"/>
      <c r="T11" s="120">
        <f t="shared" si="1"/>
        <v>-110</v>
      </c>
      <c r="U11" s="115">
        <f t="shared" si="0"/>
        <v>72.602499998283946</v>
      </c>
      <c r="V11" s="85"/>
      <c r="W11" s="85"/>
      <c r="X11" s="50"/>
      <c r="Y11" s="50"/>
      <c r="DG11" s="85"/>
      <c r="DH11" s="85"/>
    </row>
    <row r="12" spans="1:112">
      <c r="A12" s="121">
        <f>IF(ISBLANK('Input data'!$A12),NA(),'Input data'!$A12)</f>
        <v>100</v>
      </c>
      <c r="B12" s="122">
        <f>IF(ISBLANK('Input data'!$A12),NA(),IF('Input data'!$I$3=1,'Input data'!$B12,IF('Input data'!$I$3=2,'Input data'!$C12,'Input data'!$D12)))</f>
        <v>75.22</v>
      </c>
      <c r="C12" s="115">
        <f>IF(ISBLANK('Input data'!$B12),"",(LS+US)/2+(US-LS)/2*TANH(($A12-DBTT_ATANH)/(C_ATANH+D_ATANH*$A12)))</f>
        <v>70.441663183917228</v>
      </c>
      <c r="D12" s="123">
        <f>IF(ISBLANK('Input data'!$B12),"",$B12-$C12)</f>
        <v>4.7783368160827706</v>
      </c>
      <c r="E12" s="93"/>
      <c r="T12" s="120">
        <f t="shared" si="1"/>
        <v>-100</v>
      </c>
      <c r="U12" s="115">
        <f t="shared" si="0"/>
        <v>72.602499999999779</v>
      </c>
      <c r="V12" s="85"/>
      <c r="W12" s="85"/>
      <c r="X12" s="50"/>
      <c r="Y12" s="50"/>
      <c r="DG12" s="85"/>
      <c r="DH12" s="85"/>
    </row>
    <row r="13" spans="1:112">
      <c r="A13" s="121">
        <f>IF(ISBLANK('Input data'!$A13),NA(),'Input data'!$A13)</f>
        <v>148</v>
      </c>
      <c r="B13" s="122">
        <f>IF(ISBLANK('Input data'!$A13),NA(),IF('Input data'!$I$3=1,'Input data'!$B13,IF('Input data'!$I$3=2,'Input data'!$C13,'Input data'!$D13)))</f>
        <v>71.5</v>
      </c>
      <c r="C13" s="115">
        <f>IF(ISBLANK('Input data'!$B13),"",(LS+US)/2+(US-LS)/2*TANH(($A13-DBTT_ATANH)/(C_ATANH+D_ATANH*$A13)))</f>
        <v>71.43624220789016</v>
      </c>
      <c r="D13" s="123">
        <f>IF(ISBLANK('Input data'!$B13),"",$B13-$C13)</f>
        <v>6.3757792109839784E-2</v>
      </c>
      <c r="E13" s="93"/>
      <c r="T13" s="120">
        <f t="shared" si="1"/>
        <v>-90</v>
      </c>
      <c r="U13" s="115">
        <f t="shared" si="0"/>
        <v>72.602499999999992</v>
      </c>
      <c r="V13" s="85"/>
      <c r="W13" s="85"/>
      <c r="X13" s="50"/>
      <c r="Y13" s="50"/>
      <c r="DG13" s="85"/>
      <c r="DH13" s="85"/>
    </row>
    <row r="14" spans="1:112">
      <c r="A14" s="121">
        <f>IF(ISBLANK('Input data'!$A14),NA(),'Input data'!$A14)</f>
        <v>198</v>
      </c>
      <c r="B14" s="122">
        <f>IF(ISBLANK('Input data'!$A14),NA(),IF('Input data'!$I$3=1,'Input data'!$B14,IF('Input data'!$I$3=2,'Input data'!$C14,'Input data'!$D14)))</f>
        <v>69.400000000000006</v>
      </c>
      <c r="C14" s="115">
        <f>IF(ISBLANK('Input data'!$B14),"",(LS+US)/2+(US-LS)/2*TANH(($A14-DBTT_ATANH)/(C_ATANH+D_ATANH*$A14)))</f>
        <v>71.836156026467904</v>
      </c>
      <c r="D14" s="123">
        <f>IF(ISBLANK('Input data'!$B14),"",$B14-$C14)</f>
        <v>-2.4361560264678985</v>
      </c>
      <c r="E14" s="93"/>
      <c r="T14" s="120">
        <f t="shared" si="1"/>
        <v>-80</v>
      </c>
      <c r="U14" s="115">
        <f t="shared" si="0"/>
        <v>2</v>
      </c>
      <c r="V14" s="85"/>
      <c r="W14" s="85"/>
      <c r="X14" s="50"/>
      <c r="Y14" s="50"/>
      <c r="DG14" s="85"/>
      <c r="DH14" s="85"/>
    </row>
    <row r="15" spans="1:112">
      <c r="A15" s="121" t="e">
        <f>IF(ISBLANK('Input data'!$A15),NA(),'Input data'!$A15)</f>
        <v>#N/A</v>
      </c>
      <c r="B15" s="122" t="e">
        <f>IF(ISBLANK('Input data'!$A15),NA(),IF('Input data'!$I$3=1,'Input data'!$B15,IF('Input data'!$I$3=2,'Input data'!$C15,'Input data'!$D15)))</f>
        <v>#N/A</v>
      </c>
      <c r="C15" s="115" t="str">
        <f>IF(ISBLANK('Input data'!$B15),"",(LS+US)/2+(US-LS)/2*TANH(($A15-DBTT_ATANH)/(C_ATANH+D_ATANH*$A15)))</f>
        <v/>
      </c>
      <c r="D15" s="123" t="str">
        <f>IF(ISBLANK('Input data'!$B15),"",$B15-$C15)</f>
        <v/>
      </c>
      <c r="E15" s="93"/>
      <c r="T15" s="120">
        <f t="shared" si="1"/>
        <v>-70</v>
      </c>
      <c r="U15" s="115">
        <f t="shared" si="0"/>
        <v>2</v>
      </c>
      <c r="V15" s="85"/>
      <c r="W15" s="85"/>
      <c r="X15" s="50"/>
      <c r="Y15" s="50"/>
      <c r="DG15" s="85"/>
      <c r="DH15" s="85"/>
    </row>
    <row r="16" spans="1:112">
      <c r="A16" s="121" t="e">
        <f>IF(ISBLANK('Input data'!$A16),NA(),'Input data'!$A16)</f>
        <v>#N/A</v>
      </c>
      <c r="B16" s="122" t="e">
        <f>IF(ISBLANK('Input data'!$A16),NA(),IF('Input data'!$I$3=1,'Input data'!$B16,IF('Input data'!$I$3=2,'Input data'!$C16,'Input data'!$D16)))</f>
        <v>#N/A</v>
      </c>
      <c r="C16" s="115" t="str">
        <f>IF(ISBLANK('Input data'!$B16),"",(LS+US)/2+(US-LS)/2*TANH(($A16-DBTT_ATANH)/(C_ATANH+D_ATANH*$A16)))</f>
        <v/>
      </c>
      <c r="D16" s="123" t="str">
        <f>IF(ISBLANK('Input data'!$B16),"",$B16-$C16)</f>
        <v/>
      </c>
      <c r="E16" s="93"/>
      <c r="T16" s="120">
        <f t="shared" si="1"/>
        <v>-60</v>
      </c>
      <c r="U16" s="115">
        <f t="shared" si="0"/>
        <v>2.0000000858980371</v>
      </c>
      <c r="V16" s="85"/>
      <c r="W16" s="85"/>
      <c r="X16" s="50"/>
      <c r="Y16" s="50"/>
      <c r="DG16" s="85"/>
      <c r="DH16" s="85"/>
    </row>
    <row r="17" spans="1:112">
      <c r="A17" s="121" t="e">
        <f>IF(ISBLANK('Input data'!$A17),NA(),'Input data'!$A17)</f>
        <v>#N/A</v>
      </c>
      <c r="B17" s="122" t="e">
        <f>IF(ISBLANK('Input data'!$A17),NA(),IF('Input data'!$I$3=1,'Input data'!$B17,IF('Input data'!$I$3=2,'Input data'!$C17,'Input data'!$D17)))</f>
        <v>#N/A</v>
      </c>
      <c r="C17" s="115" t="str">
        <f>IF(ISBLANK('Input data'!$B17),"",(LS+US)/2+(US-LS)/2*TANH(($A17-DBTT_ATANH)/(C_ATANH+D_ATANH*$A17)))</f>
        <v/>
      </c>
      <c r="D17" s="123" t="str">
        <f>IF(ISBLANK('Input data'!$B17),"",$B17-$C17)</f>
        <v/>
      </c>
      <c r="E17" s="93"/>
      <c r="T17" s="120">
        <f t="shared" si="1"/>
        <v>-50</v>
      </c>
      <c r="U17" s="115">
        <f t="shared" si="0"/>
        <v>2.0006915196138664</v>
      </c>
      <c r="V17" s="85"/>
      <c r="W17" s="85"/>
      <c r="X17" s="50"/>
      <c r="Y17" s="50"/>
      <c r="DG17" s="85"/>
      <c r="DH17" s="85"/>
    </row>
    <row r="18" spans="1:112">
      <c r="A18" s="121" t="e">
        <f>IF(ISBLANK('Input data'!$A18),NA(),'Input data'!$A18)</f>
        <v>#N/A</v>
      </c>
      <c r="B18" s="122" t="e">
        <f>IF(ISBLANK('Input data'!$A18),NA(),IF('Input data'!$I$3=1,'Input data'!$B18,IF('Input data'!$I$3=2,'Input data'!$C18,'Input data'!$D18)))</f>
        <v>#N/A</v>
      </c>
      <c r="C18" s="115" t="str">
        <f>IF(ISBLANK('Input data'!$B18),"",(LS+US)/2+(US-LS)/2*TANH(($A18-DBTT_ATANH)/(C_ATANH+D_ATANH*$A18)))</f>
        <v/>
      </c>
      <c r="D18" s="123" t="str">
        <f>IF(ISBLANK('Input data'!$B18),"",$B18-$C18)</f>
        <v/>
      </c>
      <c r="E18" s="93"/>
      <c r="T18" s="120">
        <f t="shared" si="1"/>
        <v>-40</v>
      </c>
      <c r="U18" s="115">
        <f t="shared" si="0"/>
        <v>2.0619926412911909</v>
      </c>
      <c r="V18" s="85"/>
      <c r="W18" s="85"/>
      <c r="X18" s="50"/>
      <c r="Y18" s="50"/>
      <c r="DG18" s="85"/>
      <c r="DH18" s="85"/>
    </row>
    <row r="19" spans="1:112">
      <c r="A19" s="121" t="e">
        <f>IF(ISBLANK('Input data'!$A19),NA(),'Input data'!$A19)</f>
        <v>#N/A</v>
      </c>
      <c r="B19" s="122" t="e">
        <f>IF(ISBLANK('Input data'!$A19),NA(),IF('Input data'!$I$3=1,'Input data'!$B19,IF('Input data'!$I$3=2,'Input data'!$C19,'Input data'!$D19)))</f>
        <v>#N/A</v>
      </c>
      <c r="C19" s="115" t="str">
        <f>IF(ISBLANK('Input data'!$B19),"",(LS+US)/2+(US-LS)/2*TANH(($A19-DBTT_ATANH)/(C_ATANH+D_ATANH*$A19)))</f>
        <v/>
      </c>
      <c r="D19" s="123" t="str">
        <f>IF(ISBLANK('Input data'!$B19),"",$B19-$C19)</f>
        <v/>
      </c>
      <c r="E19" s="93"/>
      <c r="T19" s="120">
        <f t="shared" si="1"/>
        <v>-30</v>
      </c>
      <c r="U19" s="115">
        <f t="shared" si="0"/>
        <v>2.9095739774045128</v>
      </c>
      <c r="V19" s="85"/>
      <c r="W19" s="85"/>
      <c r="X19" s="50"/>
      <c r="Y19" s="50"/>
      <c r="DG19" s="85"/>
      <c r="DH19" s="85"/>
    </row>
    <row r="20" spans="1:112">
      <c r="A20" s="121" t="e">
        <f>IF(ISBLANK('Input data'!$A20),NA(),'Input data'!$A20)</f>
        <v>#N/A</v>
      </c>
      <c r="B20" s="122" t="e">
        <f>IF(ISBLANK('Input data'!$A20),NA(),IF('Input data'!$I$3=1,'Input data'!$B20,IF('Input data'!$I$3=2,'Input data'!$C20,'Input data'!$D20)))</f>
        <v>#N/A</v>
      </c>
      <c r="C20" s="115" t="str">
        <f>IF(ISBLANK('Input data'!$B20),"",(LS+US)/2+(US-LS)/2*TANH(($A20-DBTT_ATANH)/(C_ATANH+D_ATANH*$A20)))</f>
        <v/>
      </c>
      <c r="D20" s="123" t="str">
        <f>IF(ISBLANK('Input data'!$B20),"",$B20-$C20)</f>
        <v/>
      </c>
      <c r="E20" s="93"/>
      <c r="T20" s="120">
        <f t="shared" si="1"/>
        <v>-20</v>
      </c>
      <c r="U20" s="115">
        <f t="shared" si="0"/>
        <v>7.1602720405347355</v>
      </c>
      <c r="V20" s="85"/>
      <c r="W20" s="85"/>
      <c r="X20" s="50"/>
      <c r="Y20" s="50"/>
      <c r="DG20" s="85"/>
      <c r="DH20" s="85"/>
    </row>
    <row r="21" spans="1:112">
      <c r="A21" s="121" t="e">
        <f>IF(ISBLANK('Input data'!$A21),NA(),'Input data'!$A21)</f>
        <v>#N/A</v>
      </c>
      <c r="B21" s="122" t="e">
        <f>IF(ISBLANK('Input data'!$A21),NA(),IF('Input data'!$I$3=1,'Input data'!$B21,IF('Input data'!$I$3=2,'Input data'!$C21,'Input data'!$D21)))</f>
        <v>#N/A</v>
      </c>
      <c r="C21" s="115" t="str">
        <f>IF(ISBLANK('Input data'!$B21),"",(LS+US)/2+(US-LS)/2*TANH(($A21-DBTT_ATANH)/(C_ATANH+D_ATANH*$A21)))</f>
        <v/>
      </c>
      <c r="D21" s="123" t="str">
        <f>IF(ISBLANK('Input data'!$B21),"",$B21-$C21)</f>
        <v/>
      </c>
      <c r="E21" s="93"/>
      <c r="T21" s="120">
        <f t="shared" si="1"/>
        <v>-10</v>
      </c>
      <c r="U21" s="115">
        <f t="shared" si="0"/>
        <v>17.65737159853283</v>
      </c>
      <c r="V21" s="85"/>
      <c r="W21" s="85"/>
      <c r="X21" s="50"/>
      <c r="Y21" s="50"/>
      <c r="DG21" s="85"/>
      <c r="DH21" s="85"/>
    </row>
    <row r="22" spans="1:112">
      <c r="A22" s="121" t="e">
        <f>IF(ISBLANK('Input data'!$A22),NA(),'Input data'!$A22)</f>
        <v>#N/A</v>
      </c>
      <c r="B22" s="122" t="e">
        <f>IF(ISBLANK('Input data'!$A22),NA(),IF('Input data'!$I$3=1,'Input data'!$B22,IF('Input data'!$I$3=2,'Input data'!$C22,'Input data'!$D22)))</f>
        <v>#N/A</v>
      </c>
      <c r="C22" s="115" t="str">
        <f>IF(ISBLANK('Input data'!$B22),"",(LS+US)/2+(US-LS)/2*TANH(($A22-DBTT_ATANH)/(C_ATANH+D_ATANH*$A22)))</f>
        <v/>
      </c>
      <c r="D22" s="123" t="str">
        <f>IF(ISBLANK('Input data'!$B22),"",$B22-$C22)</f>
        <v/>
      </c>
      <c r="E22" s="93"/>
      <c r="T22" s="120">
        <f t="shared" si="1"/>
        <v>0</v>
      </c>
      <c r="U22" s="115">
        <f t="shared" si="0"/>
        <v>32.186961419216807</v>
      </c>
      <c r="V22" s="85"/>
      <c r="W22" s="85"/>
      <c r="X22" s="50"/>
      <c r="Y22" s="50"/>
      <c r="DG22" s="85"/>
      <c r="DH22" s="85"/>
    </row>
    <row r="23" spans="1:112">
      <c r="A23" s="121" t="e">
        <f>IF(ISBLANK('Input data'!$A23),NA(),'Input data'!$A23)</f>
        <v>#N/A</v>
      </c>
      <c r="B23" s="122" t="e">
        <f>IF(ISBLANK('Input data'!$A23),NA(),IF('Input data'!$I$3=1,'Input data'!$B23,IF('Input data'!$I$3=2,'Input data'!$C23,'Input data'!$D23)))</f>
        <v>#N/A</v>
      </c>
      <c r="C23" s="115" t="str">
        <f>IF(ISBLANK('Input data'!$B23),"",(LS+US)/2+(US-LS)/2*TANH(($A23-DBTT_ATANH)/(C_ATANH+D_ATANH*$A23)))</f>
        <v/>
      </c>
      <c r="D23" s="123" t="str">
        <f>IF(ISBLANK('Input data'!$B23),"",$B23-$C23)</f>
        <v/>
      </c>
      <c r="E23" s="93"/>
      <c r="T23" s="120">
        <f t="shared" si="1"/>
        <v>10</v>
      </c>
      <c r="U23" s="115">
        <f t="shared" si="0"/>
        <v>45.241027369706366</v>
      </c>
      <c r="V23" s="85"/>
      <c r="W23" s="85"/>
      <c r="X23" s="50"/>
      <c r="Y23" s="50"/>
      <c r="DG23" s="85"/>
      <c r="DH23" s="85"/>
    </row>
    <row r="24" spans="1:112">
      <c r="A24" s="121" t="e">
        <f>IF(ISBLANK('Input data'!$A24),NA(),'Input data'!$A24)</f>
        <v>#N/A</v>
      </c>
      <c r="B24" s="122" t="e">
        <f>IF(ISBLANK('Input data'!$A24),NA(),IF('Input data'!$I$3=1,'Input data'!$B24,IF('Input data'!$I$3=2,'Input data'!$C24,'Input data'!$D24)))</f>
        <v>#N/A</v>
      </c>
      <c r="C24" s="115" t="str">
        <f>IF(ISBLANK('Input data'!$B24),"",(LS+US)/2+(US-LS)/2*TANH(($A24-DBTT_ATANH)/(C_ATANH+D_ATANH*$A24)))</f>
        <v/>
      </c>
      <c r="D24" s="123" t="str">
        <f>IF(ISBLANK('Input data'!$B24),"",$B24-$C24)</f>
        <v/>
      </c>
      <c r="E24" s="93"/>
      <c r="T24" s="120">
        <f t="shared" si="1"/>
        <v>20</v>
      </c>
      <c r="U24" s="115">
        <f t="shared" si="0"/>
        <v>54.398279593211178</v>
      </c>
      <c r="V24" s="85"/>
      <c r="W24" s="85"/>
      <c r="X24" s="50"/>
      <c r="Y24" s="50"/>
      <c r="DG24" s="85"/>
      <c r="DH24" s="85"/>
    </row>
    <row r="25" spans="1:112">
      <c r="A25" s="121" t="e">
        <f>IF(ISBLANK('Input data'!$A25),NA(),'Input data'!$A25)</f>
        <v>#N/A</v>
      </c>
      <c r="B25" s="122" t="e">
        <f>IF(ISBLANK('Input data'!$A25),NA(),IF('Input data'!$I$3=1,'Input data'!$B25,IF('Input data'!$I$3=2,'Input data'!$C25,'Input data'!$D25)))</f>
        <v>#N/A</v>
      </c>
      <c r="C25" s="115" t="str">
        <f>IF(ISBLANK('Input data'!$B25),"",(LS+US)/2+(US-LS)/2*TANH(($A25-DBTT_ATANH)/(C_ATANH+D_ATANH*$A25)))</f>
        <v/>
      </c>
      <c r="D25" s="123" t="str">
        <f>IF(ISBLANK('Input data'!$B25),"",$B25-$C25)</f>
        <v/>
      </c>
      <c r="E25" s="93"/>
      <c r="T25" s="120">
        <f t="shared" si="1"/>
        <v>30</v>
      </c>
      <c r="U25" s="115">
        <f t="shared" si="0"/>
        <v>60.2182633525263</v>
      </c>
      <c r="V25" s="85"/>
      <c r="W25" s="85"/>
      <c r="X25" s="50"/>
      <c r="Y25" s="50"/>
      <c r="DG25" s="85"/>
      <c r="DH25" s="85"/>
    </row>
    <row r="26" spans="1:112">
      <c r="A26" s="121" t="e">
        <f>IF(ISBLANK('Input data'!$A26),NA(),'Input data'!$A26)</f>
        <v>#N/A</v>
      </c>
      <c r="B26" s="122" t="e">
        <f>IF(ISBLANK('Input data'!$A26),NA(),IF('Input data'!$I$3=1,'Input data'!$B26,IF('Input data'!$I$3=2,'Input data'!$C26,'Input data'!$D26)))</f>
        <v>#N/A</v>
      </c>
      <c r="C26" s="115" t="str">
        <f>IF(ISBLANK('Input data'!$B26),"",(LS+US)/2+(US-LS)/2*TANH(($A26-DBTT_ATANH)/(C_ATANH+D_ATANH*$A26)))</f>
        <v/>
      </c>
      <c r="D26" s="123" t="str">
        <f>IF(ISBLANK('Input data'!$B26),"",$B26-$C26)</f>
        <v/>
      </c>
      <c r="E26" s="93"/>
      <c r="T26" s="120">
        <f t="shared" si="1"/>
        <v>40</v>
      </c>
      <c r="U26" s="115">
        <f t="shared" si="0"/>
        <v>63.859175953898848</v>
      </c>
      <c r="V26" s="85"/>
      <c r="W26" s="85"/>
      <c r="X26" s="50"/>
      <c r="Y26" s="50"/>
      <c r="DG26" s="85"/>
      <c r="DH26" s="85"/>
    </row>
    <row r="27" spans="1:112">
      <c r="A27" s="121" t="e">
        <f>IF(ISBLANK('Input data'!$A27),NA(),'Input data'!$A27)</f>
        <v>#N/A</v>
      </c>
      <c r="B27" s="122" t="e">
        <f>IF(ISBLANK('Input data'!$A27),NA(),IF('Input data'!$I$3=1,'Input data'!$B27,IF('Input data'!$I$3=2,'Input data'!$C27,'Input data'!$D27)))</f>
        <v>#N/A</v>
      </c>
      <c r="C27" s="115" t="str">
        <f>IF(ISBLANK('Input data'!$B27),"",(LS+US)/2+(US-LS)/2*TANH(($A27-DBTT_ATANH)/(C_ATANH+D_ATANH*$A27)))</f>
        <v/>
      </c>
      <c r="D27" s="123" t="str">
        <f>IF(ISBLANK('Input data'!$B27),"",$B27-$C27)</f>
        <v/>
      </c>
      <c r="E27" s="93"/>
      <c r="T27" s="120">
        <f t="shared" si="1"/>
        <v>50</v>
      </c>
      <c r="U27" s="115">
        <f t="shared" si="0"/>
        <v>66.183441123188032</v>
      </c>
      <c r="V27" s="85"/>
      <c r="W27" s="85"/>
      <c r="X27" s="50"/>
      <c r="Y27" s="50"/>
      <c r="DG27" s="85"/>
      <c r="DH27" s="85"/>
    </row>
    <row r="28" spans="1:112">
      <c r="A28" s="121" t="e">
        <f>IF(ISBLANK('Input data'!$A28),NA(),'Input data'!$A28)</f>
        <v>#N/A</v>
      </c>
      <c r="B28" s="122" t="e">
        <f>IF(ISBLANK('Input data'!$A28),NA(),IF('Input data'!$I$3=1,'Input data'!$B28,IF('Input data'!$I$3=2,'Input data'!$C28,'Input data'!$D28)))</f>
        <v>#N/A</v>
      </c>
      <c r="C28" s="115" t="str">
        <f>IF(ISBLANK('Input data'!$B28),"",(LS+US)/2+(US-LS)/2*TANH(($A28-DBTT_ATANH)/(C_ATANH+D_ATANH*$A28)))</f>
        <v/>
      </c>
      <c r="D28" s="123" t="str">
        <f>IF(ISBLANK('Input data'!$B28),"",$B28-$C28)</f>
        <v/>
      </c>
      <c r="E28" s="93"/>
      <c r="T28" s="120">
        <f t="shared" si="1"/>
        <v>60</v>
      </c>
      <c r="U28" s="115">
        <f t="shared" si="0"/>
        <v>67.716439007892788</v>
      </c>
      <c r="V28" s="85"/>
      <c r="W28" s="85"/>
      <c r="X28" s="50"/>
      <c r="Y28" s="50"/>
      <c r="DG28" s="85"/>
      <c r="DH28" s="85"/>
    </row>
    <row r="29" spans="1:112">
      <c r="A29" s="121" t="e">
        <f>IF(ISBLANK('Input data'!$A29),NA(),'Input data'!$A29)</f>
        <v>#N/A</v>
      </c>
      <c r="B29" s="122" t="e">
        <f>IF(ISBLANK('Input data'!$A29),NA(),IF('Input data'!$I$3=1,'Input data'!$B29,IF('Input data'!$I$3=2,'Input data'!$C29,'Input data'!$D29)))</f>
        <v>#N/A</v>
      </c>
      <c r="C29" s="115" t="str">
        <f>IF(ISBLANK('Input data'!$B29),"",(LS+US)/2+(US-LS)/2*TANH(($A29-DBTT_ATANH)/(C_ATANH+D_ATANH*$A29)))</f>
        <v/>
      </c>
      <c r="D29" s="123" t="str">
        <f>IF(ISBLANK('Input data'!$B29),"",$B29-$C29)</f>
        <v/>
      </c>
      <c r="E29" s="93"/>
      <c r="T29" s="120">
        <f t="shared" si="1"/>
        <v>70</v>
      </c>
      <c r="U29" s="115">
        <f t="shared" si="0"/>
        <v>68.763409620278651</v>
      </c>
      <c r="V29" s="85"/>
      <c r="W29" s="85"/>
      <c r="X29" s="50"/>
      <c r="Y29" s="50"/>
      <c r="DG29" s="85"/>
      <c r="DH29" s="85"/>
    </row>
    <row r="30" spans="1:112">
      <c r="A30" s="121" t="e">
        <f>IF(ISBLANK('Input data'!$A30),NA(),'Input data'!$A30)</f>
        <v>#N/A</v>
      </c>
      <c r="B30" s="122" t="e">
        <f>IF(ISBLANK('Input data'!$A30),NA(),IF('Input data'!$I$3=1,'Input data'!$B30,IF('Input data'!$I$3=2,'Input data'!$C30,'Input data'!$D30)))</f>
        <v>#N/A</v>
      </c>
      <c r="C30" s="115" t="str">
        <f>IF(ISBLANK('Input data'!$B30),"",(LS+US)/2+(US-LS)/2*TANH(($A30-DBTT_ATANH)/(C_ATANH+D_ATANH*$A30)))</f>
        <v/>
      </c>
      <c r="D30" s="123" t="str">
        <f>IF(ISBLANK('Input data'!$B30),"",$B30-$C30)</f>
        <v/>
      </c>
      <c r="E30" s="93"/>
      <c r="T30" s="120">
        <f t="shared" si="1"/>
        <v>80</v>
      </c>
      <c r="U30" s="115">
        <f t="shared" si="0"/>
        <v>69.502484047225138</v>
      </c>
      <c r="V30" s="85"/>
      <c r="W30" s="85"/>
      <c r="X30" s="50"/>
      <c r="Y30" s="50"/>
      <c r="DG30" s="85"/>
      <c r="DH30" s="85"/>
    </row>
    <row r="31" spans="1:112">
      <c r="A31" s="121" t="e">
        <f>IF(ISBLANK('Input data'!$A31),NA(),'Input data'!$A31)</f>
        <v>#N/A</v>
      </c>
      <c r="B31" s="122" t="e">
        <f>IF(ISBLANK('Input data'!$A31),NA(),IF('Input data'!$I$3=1,'Input data'!$B31,IF('Input data'!$I$3=2,'Input data'!$C31,'Input data'!$D31)))</f>
        <v>#N/A</v>
      </c>
      <c r="C31" s="115" t="str">
        <f>IF(ISBLANK('Input data'!$B31),"",(LS+US)/2+(US-LS)/2*TANH(($A31-DBTT_ATANH)/(C_ATANH+D_ATANH*$A31)))</f>
        <v/>
      </c>
      <c r="D31" s="123" t="str">
        <f>IF(ISBLANK('Input data'!$B31),"",$B31-$C31)</f>
        <v/>
      </c>
      <c r="E31" s="93"/>
      <c r="T31" s="120">
        <f t="shared" si="1"/>
        <v>90</v>
      </c>
      <c r="U31" s="115">
        <f t="shared" si="0"/>
        <v>70.040075772498682</v>
      </c>
      <c r="V31" s="85"/>
      <c r="W31" s="85"/>
      <c r="X31" s="50"/>
      <c r="Y31" s="50"/>
      <c r="DG31" s="85"/>
      <c r="DH31" s="85"/>
    </row>
    <row r="32" spans="1:112" ht="15.75" thickBot="1">
      <c r="A32" s="124" t="e">
        <f>IF(ISBLANK('Input data'!$A32),NA(),'Input data'!$A32)</f>
        <v>#N/A</v>
      </c>
      <c r="B32" s="125" t="e">
        <f>IF(ISBLANK('Input data'!$A32),NA(),IF('Input data'!$I$3=1,'Input data'!$B32,IF('Input data'!$I$3=2,'Input data'!$C32,'Input data'!$D32)))</f>
        <v>#N/A</v>
      </c>
      <c r="C32" s="126" t="str">
        <f>IF(ISBLANK('Input data'!$B32),"",(LS+US)/2+(US-LS)/2*TANH(($A32-DBTT_ATANH)/(C_ATANH+D_ATANH*$A32)))</f>
        <v/>
      </c>
      <c r="D32" s="127" t="str">
        <f>IF(ISBLANK('Input data'!$B32),"",$B32-$C32)</f>
        <v/>
      </c>
      <c r="E32" s="93"/>
      <c r="T32" s="120">
        <f t="shared" si="1"/>
        <v>100</v>
      </c>
      <c r="U32" s="115">
        <f t="shared" si="0"/>
        <v>70.441663183917228</v>
      </c>
      <c r="V32" s="85"/>
      <c r="W32" s="85"/>
      <c r="X32" s="50"/>
      <c r="Y32" s="50"/>
      <c r="DG32" s="85"/>
      <c r="DH32" s="85"/>
    </row>
    <row r="33" spans="1:112">
      <c r="T33" s="120">
        <f>T32+10</f>
        <v>110</v>
      </c>
      <c r="U33" s="115">
        <f t="shared" si="0"/>
        <v>70.748784116889482</v>
      </c>
      <c r="V33" s="85"/>
      <c r="W33" s="85"/>
      <c r="X33" s="50"/>
      <c r="Y33" s="50"/>
      <c r="DG33" s="85"/>
      <c r="DH33" s="85"/>
    </row>
    <row r="34" spans="1:112">
      <c r="C34" s="94"/>
      <c r="T34" s="120">
        <f t="shared" si="1"/>
        <v>120</v>
      </c>
      <c r="U34" s="115">
        <f t="shared" ref="U34:U52" si="2">(LS+US)/2+(US-LS)/2*TANH(($T34-$B$35)/($B$36+$B$37*$T34))</f>
        <v>70.988571242160077</v>
      </c>
      <c r="V34" s="85"/>
      <c r="W34" s="85"/>
      <c r="X34" s="50"/>
      <c r="Y34" s="50"/>
      <c r="DG34" s="85"/>
      <c r="DH34" s="85"/>
    </row>
    <row r="35" spans="1:112">
      <c r="A35" s="96" t="s">
        <v>22</v>
      </c>
      <c r="B35" s="168">
        <v>3.6174162784169184</v>
      </c>
      <c r="C35" s="98" t="s">
        <v>9</v>
      </c>
      <c r="T35" s="120">
        <f t="shared" si="1"/>
        <v>130</v>
      </c>
      <c r="U35" s="115">
        <f t="shared" si="2"/>
        <v>71.179236034886429</v>
      </c>
      <c r="V35" s="85"/>
      <c r="W35" s="85"/>
      <c r="X35" s="50"/>
      <c r="Y35" s="50"/>
      <c r="DG35" s="85"/>
      <c r="DH35" s="85"/>
    </row>
    <row r="36" spans="1:112">
      <c r="A36" s="96" t="s">
        <v>14</v>
      </c>
      <c r="B36" s="168">
        <v>24.793445682891321</v>
      </c>
      <c r="C36" s="98" t="s">
        <v>9</v>
      </c>
      <c r="T36" s="120">
        <f t="shared" si="1"/>
        <v>140</v>
      </c>
      <c r="U36" s="115">
        <f t="shared" si="2"/>
        <v>71.333310089278484</v>
      </c>
      <c r="V36" s="85"/>
      <c r="W36" s="85"/>
      <c r="X36" s="50"/>
      <c r="Y36" s="50"/>
      <c r="DG36" s="85"/>
      <c r="DH36" s="85"/>
    </row>
    <row r="37" spans="1:112">
      <c r="A37" s="96" t="s">
        <v>33</v>
      </c>
      <c r="B37" s="171">
        <v>0.30991806210750178</v>
      </c>
      <c r="C37" s="133"/>
      <c r="E37" s="100">
        <f>DBTT_ATANH</f>
        <v>3.6174162784169184</v>
      </c>
      <c r="F37" s="100">
        <v>0</v>
      </c>
      <c r="T37" s="120">
        <f t="shared" si="1"/>
        <v>150</v>
      </c>
      <c r="U37" s="115">
        <f t="shared" si="2"/>
        <v>71.459614040540359</v>
      </c>
      <c r="V37" s="85"/>
      <c r="W37" s="85"/>
      <c r="X37" s="50"/>
      <c r="Y37" s="50"/>
      <c r="DG37" s="85"/>
      <c r="DH37" s="85"/>
    </row>
    <row r="38" spans="1:112" ht="15.75" thickBot="1">
      <c r="E38" s="100">
        <f>E37</f>
        <v>3.6174162784169184</v>
      </c>
      <c r="F38" s="100">
        <f>(LS+US)/2</f>
        <v>37.301249999999996</v>
      </c>
      <c r="T38" s="120">
        <f t="shared" si="1"/>
        <v>160</v>
      </c>
      <c r="U38" s="115">
        <f t="shared" si="2"/>
        <v>71.564485368087105</v>
      </c>
      <c r="V38" s="85"/>
      <c r="W38" s="85"/>
      <c r="X38" s="50"/>
      <c r="Y38" s="50"/>
      <c r="DG38" s="85"/>
      <c r="DH38" s="85"/>
    </row>
    <row r="39" spans="1:112" ht="15.75" thickBot="1">
      <c r="A39" s="102" t="s">
        <v>10</v>
      </c>
      <c r="B39" s="128">
        <f>SUMSQ(Residual_ATANH)</f>
        <v>245.80065454902314</v>
      </c>
      <c r="C39" s="103" t="s">
        <v>38</v>
      </c>
      <c r="F39" s="187" t="s">
        <v>60</v>
      </c>
      <c r="G39" s="188"/>
      <c r="H39" s="50"/>
      <c r="T39" s="120">
        <f t="shared" si="1"/>
        <v>170</v>
      </c>
      <c r="U39" s="115">
        <f t="shared" si="2"/>
        <v>71.652563141160044</v>
      </c>
      <c r="V39" s="85"/>
      <c r="W39" s="85"/>
      <c r="X39" s="50"/>
      <c r="Y39" s="50"/>
      <c r="DG39" s="85"/>
      <c r="DH39" s="85"/>
    </row>
    <row r="40" spans="1:112">
      <c r="A40" s="102" t="s">
        <v>17</v>
      </c>
      <c r="B40" s="114">
        <f>COUNT(Fit_ATANH)-3</f>
        <v>9</v>
      </c>
      <c r="C40" s="104" t="s">
        <v>37</v>
      </c>
      <c r="F40" s="134" t="str">
        <f>IF(Fit_index=1,"KV (J)",IF(Fit_index=2,"LE (mm)","SFA (%)"))</f>
        <v>KV (J)</v>
      </c>
      <c r="G40" s="135" t="s">
        <v>56</v>
      </c>
      <c r="H40" s="50"/>
      <c r="T40" s="120">
        <f t="shared" si="1"/>
        <v>180</v>
      </c>
      <c r="U40" s="115">
        <f t="shared" si="2"/>
        <v>71.727301202653436</v>
      </c>
      <c r="V40" s="85"/>
      <c r="W40" s="85"/>
      <c r="X40" s="50"/>
      <c r="Y40" s="50"/>
      <c r="DG40" s="85"/>
      <c r="DH40" s="85"/>
    </row>
    <row r="41" spans="1:112">
      <c r="A41" s="102" t="s">
        <v>39</v>
      </c>
      <c r="B41" s="129">
        <f>SQRT(SSR_ATANH/df_ATANH)</f>
        <v>5.2260103175156809</v>
      </c>
      <c r="C41" s="85" t="str">
        <f>IF('Input data'!$I$3=1,"J (root mean square error)",IF('Input data'!$I$3=2,"mm (root mean square error)","% (root mean square error)"))</f>
        <v>J (root mean square error)</v>
      </c>
      <c r="F41" s="169">
        <v>28</v>
      </c>
      <c r="G41" s="130">
        <f>IF(ISBLANK($F41),"",IFERROR((DBTT_ATANH+C_ATANH*$I41)/(1-D_ATANH*$I41),"N/A"))</f>
        <v>-2.8358497475791431</v>
      </c>
      <c r="H41" s="50"/>
      <c r="I41" s="136">
        <f>ATANH(($F41-A)/B)</f>
        <v>-0.26984668662261951</v>
      </c>
      <c r="T41" s="120">
        <f t="shared" si="1"/>
        <v>190</v>
      </c>
      <c r="U41" s="115">
        <f t="shared" si="2"/>
        <v>71.791310945518191</v>
      </c>
      <c r="V41" s="85"/>
      <c r="W41" s="85"/>
      <c r="X41" s="50"/>
      <c r="Y41" s="50"/>
      <c r="DG41" s="85"/>
      <c r="DH41" s="85"/>
    </row>
    <row r="42" spans="1:112" ht="15.75" thickBot="1">
      <c r="F42" s="170">
        <v>41</v>
      </c>
      <c r="G42" s="131">
        <f>IF(ISBLANK($F42),"",IFERROR((DBTT_ATANH+C_ATANH*$I42)/(1-D_ATANH*$I42),"N/A"))</f>
        <v>6.4344733651187491</v>
      </c>
      <c r="H42" s="50"/>
      <c r="I42" s="136">
        <f>ATANH(($F42-A)/B)</f>
        <v>0.10516270737103552</v>
      </c>
      <c r="T42" s="120">
        <f t="shared" si="1"/>
        <v>200</v>
      </c>
      <c r="U42" s="115">
        <f t="shared" si="2"/>
        <v>71.846594782581519</v>
      </c>
      <c r="V42" s="85"/>
      <c r="W42" s="85"/>
      <c r="X42" s="50"/>
      <c r="Y42" s="50"/>
      <c r="DG42" s="85"/>
      <c r="DH42" s="85"/>
    </row>
    <row r="43" spans="1:112">
      <c r="T43" s="120">
        <f t="shared" si="1"/>
        <v>210</v>
      </c>
      <c r="U43" s="115">
        <f t="shared" si="2"/>
        <v>71.894708055894952</v>
      </c>
      <c r="V43" s="85"/>
      <c r="W43" s="85"/>
      <c r="X43" s="50"/>
      <c r="Y43" s="50"/>
      <c r="DG43" s="85"/>
      <c r="DH43" s="85"/>
    </row>
    <row r="44" spans="1:112" ht="15.75" thickBot="1">
      <c r="F44" s="137"/>
      <c r="T44" s="120">
        <f t="shared" si="1"/>
        <v>220</v>
      </c>
      <c r="U44" s="115">
        <f t="shared" si="2"/>
        <v>71.936873200780241</v>
      </c>
      <c r="V44" s="85"/>
      <c r="W44" s="85"/>
      <c r="X44" s="50"/>
      <c r="Y44" s="50"/>
      <c r="DG44" s="85"/>
      <c r="DH44" s="85"/>
    </row>
    <row r="45" spans="1:112" ht="15.75" thickBot="1">
      <c r="B45" s="111" t="s">
        <v>44</v>
      </c>
      <c r="C45" s="132">
        <f>2*(COUNT(B35:B37)+1)+COUNT(Temperatures)*LN(SSR_ATANH/COUNT(Temperatures))</f>
        <v>44.235370523285141</v>
      </c>
      <c r="D45" s="189" t="s">
        <v>45</v>
      </c>
      <c r="E45" s="189"/>
      <c r="F45" s="189"/>
      <c r="G45" s="189"/>
      <c r="T45" s="120">
        <f t="shared" si="1"/>
        <v>230</v>
      </c>
      <c r="U45" s="115">
        <f t="shared" si="2"/>
        <v>71.974061489189836</v>
      </c>
      <c r="V45" s="85"/>
      <c r="W45" s="85"/>
      <c r="X45" s="50"/>
      <c r="Y45" s="50"/>
      <c r="DG45" s="85"/>
      <c r="DH45" s="85"/>
    </row>
    <row r="46" spans="1:112" ht="15.75" thickBot="1">
      <c r="B46" s="111" t="s">
        <v>46</v>
      </c>
      <c r="C46" s="132">
        <f>(COUNT(B35:B37)+1)*LN(COUNT(Temperatures))+COUNT(Temperatures)*LN(SSR_ATANH/COUNT(Temperatures))</f>
        <v>46.174997122437141</v>
      </c>
      <c r="D46" s="189" t="s">
        <v>47</v>
      </c>
      <c r="E46" s="189"/>
      <c r="F46" s="189"/>
      <c r="G46" s="189"/>
      <c r="T46" s="120">
        <f t="shared" si="1"/>
        <v>240</v>
      </c>
      <c r="U46" s="115">
        <f t="shared" si="2"/>
        <v>72.007052396305582</v>
      </c>
      <c r="V46" s="85"/>
      <c r="W46" s="85"/>
      <c r="X46" s="50"/>
      <c r="Y46" s="50"/>
      <c r="DG46" s="85"/>
      <c r="DH46" s="85"/>
    </row>
    <row r="47" spans="1:112">
      <c r="T47" s="120">
        <f t="shared" si="1"/>
        <v>250</v>
      </c>
      <c r="U47" s="115">
        <f t="shared" si="2"/>
        <v>72.036477286958515</v>
      </c>
      <c r="V47" s="85"/>
      <c r="W47" s="85"/>
      <c r="X47" s="50"/>
      <c r="Y47" s="50"/>
      <c r="DG47" s="85"/>
      <c r="DH47" s="85"/>
    </row>
    <row r="48" spans="1:112">
      <c r="T48" s="120">
        <f t="shared" si="1"/>
        <v>260</v>
      </c>
      <c r="U48" s="115">
        <f t="shared" si="2"/>
        <v>72.062851958526736</v>
      </c>
      <c r="V48" s="85"/>
      <c r="W48" s="85"/>
      <c r="X48" s="50"/>
      <c r="Y48" s="50"/>
      <c r="DG48" s="85"/>
      <c r="DH48" s="85"/>
    </row>
    <row r="49" spans="1:112">
      <c r="A49" s="50"/>
      <c r="B49" s="50"/>
      <c r="C49" s="50"/>
      <c r="D49" s="50"/>
      <c r="E49" s="50"/>
      <c r="F49" s="50"/>
      <c r="G49" s="50"/>
      <c r="T49" s="120">
        <f t="shared" si="1"/>
        <v>270</v>
      </c>
      <c r="U49" s="115">
        <f t="shared" si="2"/>
        <v>72.08660115982957</v>
      </c>
      <c r="V49" s="85"/>
      <c r="W49" s="85"/>
      <c r="X49" s="50"/>
      <c r="Y49" s="50"/>
      <c r="DG49" s="85"/>
      <c r="DH49" s="85"/>
    </row>
    <row r="50" spans="1:112">
      <c r="A50" s="50"/>
      <c r="B50" s="50"/>
      <c r="C50" s="50"/>
      <c r="D50" s="50"/>
      <c r="E50" s="50"/>
      <c r="F50" s="50"/>
      <c r="G50" s="50"/>
      <c r="T50" s="120">
        <f t="shared" si="1"/>
        <v>280</v>
      </c>
      <c r="U50" s="115">
        <f t="shared" si="2"/>
        <v>72.108077261126681</v>
      </c>
      <c r="V50" s="85"/>
      <c r="W50" s="85"/>
      <c r="X50" s="50"/>
      <c r="Y50" s="50"/>
      <c r="DG50" s="85"/>
      <c r="DH50" s="85"/>
    </row>
    <row r="51" spans="1:112">
      <c r="A51" s="50"/>
      <c r="B51" s="50"/>
      <c r="C51" s="50"/>
      <c r="D51" s="50"/>
      <c r="E51" s="50"/>
      <c r="F51" s="50"/>
      <c r="G51" s="50"/>
      <c r="T51" s="120">
        <f t="shared" si="1"/>
        <v>290</v>
      </c>
      <c r="U51" s="115">
        <f t="shared" si="2"/>
        <v>72.127574611695167</v>
      </c>
      <c r="V51" s="85"/>
      <c r="W51" s="85"/>
      <c r="X51" s="50"/>
      <c r="Y51" s="50"/>
      <c r="DG51" s="85"/>
      <c r="DH51" s="85"/>
    </row>
    <row r="52" spans="1:112">
      <c r="A52" s="50"/>
      <c r="B52" s="50"/>
      <c r="C52" s="50"/>
      <c r="D52" s="50"/>
      <c r="E52" s="50"/>
      <c r="F52" s="50"/>
      <c r="G52" s="50"/>
      <c r="T52" s="120">
        <f t="shared" si="1"/>
        <v>300</v>
      </c>
      <c r="U52" s="115">
        <f t="shared" si="2"/>
        <v>72.145340683639162</v>
      </c>
      <c r="V52" s="85"/>
      <c r="W52" s="85"/>
      <c r="X52" s="50"/>
      <c r="Y52" s="50"/>
      <c r="DG52" s="85"/>
      <c r="DH52" s="85"/>
    </row>
    <row r="53" spans="1:112">
      <c r="A53" s="50"/>
      <c r="B53" s="50"/>
      <c r="C53" s="50"/>
      <c r="D53" s="50"/>
      <c r="E53" s="50"/>
      <c r="F53" s="50"/>
      <c r="G53" s="50"/>
    </row>
    <row r="57" spans="1:112">
      <c r="U57" s="113">
        <f>NORMSINV(0.05)</f>
        <v>-1.6448536269514726</v>
      </c>
      <c r="V57" s="113" t="e">
        <f>PERCENTILE($AT$3:$AT$32,0.05)</f>
        <v>#NUM!</v>
      </c>
    </row>
    <row r="58" spans="1:112">
      <c r="U58" s="113">
        <f>NORMSINV(0.95)</f>
        <v>1.6448536269514715</v>
      </c>
      <c r="V58" s="113" t="e">
        <f>PERCENTILE(AT3:AT32,0.95)</f>
        <v>#NUM!</v>
      </c>
    </row>
    <row r="71" spans="20:23">
      <c r="V71" s="85"/>
      <c r="W71" s="85"/>
    </row>
    <row r="76" spans="20:23">
      <c r="T76" s="86"/>
      <c r="U76" s="86"/>
      <c r="V76" s="85"/>
      <c r="W76" s="85"/>
    </row>
    <row r="77" spans="20:23">
      <c r="T77" s="86"/>
      <c r="U77" s="86"/>
      <c r="V77" s="85"/>
      <c r="W77" s="85"/>
    </row>
    <row r="78" spans="20:23">
      <c r="T78" s="86"/>
      <c r="U78" s="86"/>
      <c r="V78" s="85"/>
      <c r="W78" s="85"/>
    </row>
    <row r="142" spans="3:3">
      <c r="C142" s="85">
        <v>0</v>
      </c>
    </row>
  </sheetData>
  <sheetProtection sheet="1" scenarios="1"/>
  <mergeCells count="3">
    <mergeCell ref="D45:G45"/>
    <mergeCell ref="D46:G46"/>
    <mergeCell ref="F39:G39"/>
  </mergeCells>
  <conditionalFormatting sqref="A3:B32">
    <cfRule type="expression" dxfId="12" priority="9">
      <formula>ISNA($A3)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Module1.Fit_ATANH">
                <anchor moveWithCells="1" sizeWithCells="1">
                  <from>
                    <xdr:col>4</xdr:col>
                    <xdr:colOff>9525</xdr:colOff>
                    <xdr:row>34</xdr:row>
                    <xdr:rowOff>9525</xdr:rowOff>
                  </from>
                  <to>
                    <xdr:col>5</xdr:col>
                    <xdr:colOff>9525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Scale_auto">
                <anchor moveWithCells="1" sizeWithCells="1">
                  <from>
                    <xdr:col>4</xdr:col>
                    <xdr:colOff>476250</xdr:colOff>
                    <xdr:row>0</xdr:row>
                    <xdr:rowOff>0</xdr:rowOff>
                  </from>
                  <to>
                    <xdr:col>6</xdr:col>
                    <xdr:colOff>9525</xdr:colOff>
                    <xdr:row>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Scale_SFA">
                <anchor moveWithCells="1" sizeWithCells="1">
                  <from>
                    <xdr:col>4</xdr:col>
                    <xdr:colOff>476250</xdr:colOff>
                    <xdr:row>2</xdr:row>
                    <xdr:rowOff>28575</xdr:rowOff>
                  </from>
                  <to>
                    <xdr:col>6</xdr:col>
                    <xdr:colOff>0</xdr:colOff>
                    <xdr:row>4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BD7097-4DBD-4A0C-A19B-634946A28744}">
  <sheetPr codeName="Sheet6"/>
  <dimension ref="A1:AA66"/>
  <sheetViews>
    <sheetView topLeftCell="A30" workbookViewId="0">
      <selection activeCell="G41" sqref="G41:G42"/>
    </sheetView>
  </sheetViews>
  <sheetFormatPr defaultRowHeight="15"/>
  <cols>
    <col min="1" max="1" width="9.140625" style="85"/>
    <col min="2" max="2" width="9.140625" style="85" customWidth="1"/>
    <col min="3" max="4" width="9.140625" style="85"/>
    <col min="5" max="5" width="9.140625" style="85" customWidth="1"/>
    <col min="6" max="7" width="10.7109375" style="85" customWidth="1"/>
    <col min="8" max="8" width="9.140625" style="85"/>
    <col min="9" max="9" width="9.140625" style="85" customWidth="1"/>
    <col min="10" max="22" width="9.140625" style="85"/>
    <col min="23" max="24" width="8.85546875" style="86"/>
    <col min="25" max="26" width="9.140625" style="85"/>
    <col min="27" max="27" width="9.140625" style="102"/>
    <col min="28" max="29" width="9.140625" style="85"/>
    <col min="30" max="30" width="9.140625" style="85" customWidth="1"/>
    <col min="31" max="46" width="9.140625" style="85"/>
    <col min="47" max="47" width="9.140625" style="85" customWidth="1"/>
    <col min="48" max="53" width="9.140625" style="85"/>
    <col min="54" max="54" width="9.140625" style="85" customWidth="1"/>
    <col min="55" max="56" width="9.28515625" style="85" bestFit="1" customWidth="1"/>
    <col min="57" max="58" width="9.140625" style="85" customWidth="1"/>
    <col min="59" max="64" width="9.28515625" style="85" bestFit="1" customWidth="1"/>
    <col min="65" max="65" width="9.140625" style="85" customWidth="1"/>
    <col min="66" max="83" width="9.28515625" style="85" bestFit="1" customWidth="1"/>
    <col min="84" max="16384" width="9.140625" style="85"/>
  </cols>
  <sheetData>
    <row r="1" spans="1:25" s="85" customFormat="1" ht="15.75" customHeight="1" thickBot="1">
      <c r="A1" s="80" t="s">
        <v>54</v>
      </c>
      <c r="B1" s="81" t="str">
        <f>IF('Input data'!$I$3=1,"KV",IF('Input data'!$I$3=2,"LE","SFA"))</f>
        <v>KV</v>
      </c>
      <c r="C1" s="190" t="s">
        <v>20</v>
      </c>
      <c r="D1" s="82" t="s">
        <v>8</v>
      </c>
      <c r="E1" s="83" t="s">
        <v>11</v>
      </c>
      <c r="F1" s="84"/>
      <c r="U1" s="86" t="s">
        <v>12</v>
      </c>
      <c r="V1" s="139" t="s">
        <v>21</v>
      </c>
      <c r="W1" s="86" t="s">
        <v>8</v>
      </c>
      <c r="Y1" s="102"/>
    </row>
    <row r="2" spans="1:25" s="85" customFormat="1" ht="16.5" thickTop="1" thickBot="1">
      <c r="A2" s="87" t="s">
        <v>4</v>
      </c>
      <c r="B2" s="88" t="str">
        <f>IF('Input data'!$I$3=1,"(J)",IF('Input data'!$I$3=2,"(mm)","(%)"))</f>
        <v>(J)</v>
      </c>
      <c r="C2" s="191"/>
      <c r="D2" s="89" t="str">
        <f>IF('Input data'!$I$3=1,"(J)",IF('Input data'!$I$3=2,"(mm)","(%)"))</f>
        <v>(J)</v>
      </c>
      <c r="E2" s="90" t="str">
        <f>IF('Input data'!$I$3=1,"(J)",IF('Input data'!$I$3=2,"(mm)","(%)"))</f>
        <v>(J)</v>
      </c>
      <c r="F2" s="91"/>
      <c r="U2" s="92">
        <v>-100</v>
      </c>
      <c r="V2" s="115">
        <f t="shared" ref="V2:V32" si="0">IFERROR((1+EXP(-k_Burr*($U2-T0_Burr)))^(-m_Burr),0)</f>
        <v>8.2469381974256261E-5</v>
      </c>
      <c r="W2" s="146">
        <f t="shared" ref="W2:W32" si="1">LS+(US-LS)*$V2</f>
        <v>2.0058225445408375</v>
      </c>
      <c r="Y2" s="102"/>
    </row>
    <row r="3" spans="1:25" s="85" customFormat="1">
      <c r="A3" s="116">
        <f>IF(ISBLANK('Input data'!$A3),NA(),'Input data'!$A3)</f>
        <v>-80</v>
      </c>
      <c r="B3" s="117">
        <f>IF(ISBLANK('Input data'!$A3),NA(),IF('Input data'!$I$3=1,'Input data'!$B3,IF('Input data'!$I$3=2,'Input data'!$C3,'Input data'!$D3)))</f>
        <v>2.4</v>
      </c>
      <c r="C3" s="117">
        <f>IF(ISBLANK('Input data'!$B3),"",IFERROR((1+EXP(-$B$36*($A3-$B$35)))^-$B$37,0))</f>
        <v>5.3461024077246396E-4</v>
      </c>
      <c r="D3" s="118">
        <f>IF(ISBLANK('Input data'!$B3),"",LS+(US-LS)*Xi_function)</f>
        <v>2.0377448195241379</v>
      </c>
      <c r="E3" s="119">
        <f>IF(ISBLANK('Input data'!$B3),"",IFERROR($B3-Fit_Burr,0))</f>
        <v>0.36225518047586203</v>
      </c>
      <c r="F3" s="93"/>
      <c r="U3" s="120">
        <f t="shared" ref="U3:U33" si="2">$U2+10</f>
        <v>-90</v>
      </c>
      <c r="V3" s="115">
        <f t="shared" si="0"/>
        <v>2.1028524921707151E-4</v>
      </c>
      <c r="W3" s="146">
        <f t="shared" si="1"/>
        <v>2.0148466643078482</v>
      </c>
      <c r="Y3" s="102"/>
    </row>
    <row r="4" spans="1:25" s="85" customFormat="1">
      <c r="A4" s="121">
        <f>IF(ISBLANK('Input data'!$A4),NA(),'Input data'!$A4)</f>
        <v>-50</v>
      </c>
      <c r="B4" s="122">
        <f>IF(ISBLANK('Input data'!$A4),NA(),IF('Input data'!$I$3=1,'Input data'!$B4,IF('Input data'!$I$3=2,'Input data'!$C4,'Input data'!$D4)))</f>
        <v>4.13</v>
      </c>
      <c r="C4" s="122">
        <f>IF(ISBLANK('Input data'!$B4),"",IFERROR((1+EXP(-$B$36*($A4-$B$35)))^-$B$37,0))</f>
        <v>8.3532919341883383E-3</v>
      </c>
      <c r="D4" s="115">
        <f>IF(ISBLANK('Input data'!$B4),"",LS+(US-LS)*Xi_function)</f>
        <v>2.5897632937835322</v>
      </c>
      <c r="E4" s="123">
        <f>IF(ISBLANK('Input data'!$B4),"",IFERROR($B4-Fit_Burr,0))</f>
        <v>1.5402367062164677</v>
      </c>
      <c r="F4" s="93"/>
      <c r="U4" s="120">
        <f t="shared" si="2"/>
        <v>-80</v>
      </c>
      <c r="V4" s="115">
        <f t="shared" si="0"/>
        <v>5.3461024077246396E-4</v>
      </c>
      <c r="W4" s="146">
        <f t="shared" si="1"/>
        <v>2.0377448195241379</v>
      </c>
      <c r="Y4" s="102"/>
    </row>
    <row r="5" spans="1:25" s="85" customFormat="1">
      <c r="A5" s="121">
        <f>IF(ISBLANK('Input data'!$A5),NA(),'Input data'!$A5)</f>
        <v>-35</v>
      </c>
      <c r="B5" s="122">
        <f>IF(ISBLANK('Input data'!$A5),NA(),IF('Input data'!$I$3=1,'Input data'!$B5,IF('Input data'!$I$3=2,'Input data'!$C5,'Input data'!$D5)))</f>
        <v>4.13</v>
      </c>
      <c r="C5" s="122">
        <f>IF(ISBLANK('Input data'!$B5),"",IFERROR((1+EXP(-$B$36*($A5-$B$35)))^-$B$37,0))</f>
        <v>3.0565239292266694E-2</v>
      </c>
      <c r="D5" s="115">
        <f>IF(ISBLANK('Input data'!$B5),"",LS+(US-LS)*Xi_function)</f>
        <v>4.1579823071322597</v>
      </c>
      <c r="E5" s="123">
        <f>IF(ISBLANK('Input data'!$B5),"",IFERROR($B5-Fit_Burr,0))</f>
        <v>-2.7982307132259798E-2</v>
      </c>
      <c r="F5" s="93"/>
      <c r="U5" s="120">
        <f t="shared" si="2"/>
        <v>-70</v>
      </c>
      <c r="V5" s="115">
        <f t="shared" si="0"/>
        <v>1.3520209787255052E-3</v>
      </c>
      <c r="W5" s="146">
        <f t="shared" si="1"/>
        <v>2.0954560611504673</v>
      </c>
      <c r="Y5" s="102"/>
    </row>
    <row r="6" spans="1:25" s="85" customFormat="1">
      <c r="A6" s="121">
        <f>IF(ISBLANK('Input data'!$A6),NA(),'Input data'!$A6)</f>
        <v>-15</v>
      </c>
      <c r="B6" s="122">
        <f>IF(ISBLANK('Input data'!$A6),NA(),IF('Input data'!$I$3=1,'Input data'!$B6,IF('Input data'!$I$3=2,'Input data'!$C6,'Input data'!$D6)))</f>
        <v>10.210000000000001</v>
      </c>
      <c r="C6" s="122">
        <f>IF(ISBLANK('Input data'!$B6),"",IFERROR((1+EXP(-$B$36*($A6-$B$35)))^-$B$37,0))</f>
        <v>0.13886207324843675</v>
      </c>
      <c r="D6" s="115">
        <f>IF(ISBLANK('Input data'!$B6),"",LS+(US-LS)*Xi_function)</f>
        <v>11.804009526522755</v>
      </c>
      <c r="E6" s="123">
        <f>IF(ISBLANK('Input data'!$B6),"",IFERROR($B6-Fit_Burr,0))</f>
        <v>-1.5940095265227541</v>
      </c>
      <c r="F6" s="93"/>
      <c r="U6" s="120">
        <f t="shared" si="2"/>
        <v>-60</v>
      </c>
      <c r="V6" s="115">
        <f t="shared" si="0"/>
        <v>3.3877588732394649E-3</v>
      </c>
      <c r="W6" s="146">
        <f t="shared" si="1"/>
        <v>2.2391842458478894</v>
      </c>
      <c r="Y6" s="102"/>
    </row>
    <row r="7" spans="1:25" s="85" customFormat="1">
      <c r="A7" s="121">
        <f>IF(ISBLANK('Input data'!$A7),NA(),'Input data'!$A7)</f>
        <v>0</v>
      </c>
      <c r="B7" s="122">
        <f>IF(ISBLANK('Input data'!$A7),NA(),IF('Input data'!$I$3=1,'Input data'!$B7,IF('Input data'!$I$3=2,'Input data'!$C7,'Input data'!$D7)))</f>
        <v>27.99</v>
      </c>
      <c r="C7" s="122">
        <f>IF(ISBLANK('Input data'!$B7),"",IFERROR((1+EXP(-$B$36*($A7-$B$35)))^-$B$37,0))</f>
        <v>0.32616783052374659</v>
      </c>
      <c r="D7" s="115">
        <f>IF(ISBLANK('Input data'!$B7),"",LS+(US-LS)*Xi_function)</f>
        <v>25.028264254552816</v>
      </c>
      <c r="E7" s="123">
        <f>IF(ISBLANK('Input data'!$B7),"",IFERROR($B7-Fit_Burr,0))</f>
        <v>2.9617357454471822</v>
      </c>
      <c r="F7" s="93"/>
      <c r="U7" s="120">
        <f t="shared" si="2"/>
        <v>-50</v>
      </c>
      <c r="V7" s="115">
        <f t="shared" si="0"/>
        <v>8.3532919341883383E-3</v>
      </c>
      <c r="W7" s="146">
        <f t="shared" si="1"/>
        <v>2.5897632937835322</v>
      </c>
      <c r="Y7" s="102"/>
    </row>
    <row r="8" spans="1:25" s="85" customFormat="1">
      <c r="A8" s="121">
        <f>IF(ISBLANK('Input data'!$A8),NA(),'Input data'!$A8)</f>
        <v>10</v>
      </c>
      <c r="B8" s="122">
        <f>IF(ISBLANK('Input data'!$A8),NA(),IF('Input data'!$I$3=1,'Input data'!$B8,IF('Input data'!$I$3=2,'Input data'!$C8,'Input data'!$D8)))</f>
        <v>34.25</v>
      </c>
      <c r="C8" s="122">
        <f>IF(ISBLANK('Input data'!$B8),"",IFERROR((1+EXP(-$B$36*($A8-$B$35)))^-$B$37,0))</f>
        <v>0.48782592397696545</v>
      </c>
      <c r="D8" s="115">
        <f>IF(ISBLANK('Input data'!$B8),"",LS+(US-LS)*Xi_function)</f>
        <v>36.441729797583697</v>
      </c>
      <c r="E8" s="123">
        <f>IF(ISBLANK('Input data'!$B8),"",IFERROR($B8-Fit_Burr,0))</f>
        <v>-2.1917297975836973</v>
      </c>
      <c r="F8" s="93"/>
      <c r="U8" s="120">
        <f t="shared" si="2"/>
        <v>-40</v>
      </c>
      <c r="V8" s="115">
        <f t="shared" si="0"/>
        <v>2.0040876168947071E-2</v>
      </c>
      <c r="W8" s="146">
        <f t="shared" si="1"/>
        <v>3.4149359597180853</v>
      </c>
      <c r="Y8" s="102"/>
    </row>
    <row r="9" spans="1:25" s="85" customFormat="1">
      <c r="A9" s="121">
        <f>IF(ISBLANK('Input data'!$A9),NA(),'Input data'!$A9)</f>
        <v>21</v>
      </c>
      <c r="B9" s="122">
        <f>IF(ISBLANK('Input data'!$A9),NA(),IF('Input data'!$I$3=1,'Input data'!$B9,IF('Input data'!$I$3=2,'Input data'!$C9,'Input data'!$D9)))</f>
        <v>48.86</v>
      </c>
      <c r="C9" s="122">
        <f>IF(ISBLANK('Input data'!$B9),"",IFERROR((1+EXP(-$B$36*($A9-$B$35)))^-$B$37,0))</f>
        <v>0.65854353815415334</v>
      </c>
      <c r="D9" s="115">
        <f>IF(ISBLANK('Input data'!$B9),"",LS+(US-LS)*Xi_function)</f>
        <v>48.494820152528604</v>
      </c>
      <c r="E9" s="123">
        <f>IF(ISBLANK('Input data'!$B9),"",IFERROR($B9-Fit_Burr,0))</f>
        <v>0.36517984747139565</v>
      </c>
      <c r="F9" s="93"/>
      <c r="U9" s="120">
        <f t="shared" si="2"/>
        <v>-30</v>
      </c>
      <c r="V9" s="115">
        <f t="shared" si="0"/>
        <v>4.5968273815338877E-2</v>
      </c>
      <c r="W9" s="146">
        <f t="shared" si="1"/>
        <v>5.2454750520474622</v>
      </c>
      <c r="Y9" s="102"/>
    </row>
    <row r="10" spans="1:25" s="85" customFormat="1">
      <c r="A10" s="121">
        <f>IF(ISBLANK('Input data'!$A10),NA(),'Input data'!$A10)</f>
        <v>40</v>
      </c>
      <c r="B10" s="122">
        <f>IF(ISBLANK('Input data'!$A10),NA(),IF('Input data'!$I$3=1,'Input data'!$B10,IF('Input data'!$I$3=2,'Input data'!$C10,'Input data'!$D10)))</f>
        <v>61.88</v>
      </c>
      <c r="C10" s="122">
        <f>IF(ISBLANK('Input data'!$B10),"",IFERROR((1+EXP(-$B$36*($A10-$B$35)))^-$B$37,0))</f>
        <v>0.86013442963002373</v>
      </c>
      <c r="D10" s="115">
        <f>IF(ISBLANK('Input data'!$B10),"",LS+(US-LS)*Xi_function)</f>
        <v>62.727641067953741</v>
      </c>
      <c r="E10" s="123">
        <f>IF(ISBLANK('Input data'!$B10),"",IFERROR($B10-Fit_Burr,0))</f>
        <v>-0.84764106795373806</v>
      </c>
      <c r="F10" s="93"/>
      <c r="U10" s="120">
        <f t="shared" si="2"/>
        <v>-20</v>
      </c>
      <c r="V10" s="115">
        <f t="shared" si="0"/>
        <v>9.8344964633071116E-2</v>
      </c>
      <c r="W10" s="146">
        <f t="shared" si="1"/>
        <v>8.9434003655064025</v>
      </c>
      <c r="Y10" s="102"/>
    </row>
    <row r="11" spans="1:25" s="85" customFormat="1">
      <c r="A11" s="121">
        <f>IF(ISBLANK('Input data'!$A11),NA(),'Input data'!$A11)</f>
        <v>76</v>
      </c>
      <c r="B11" s="122">
        <f>IF(ISBLANK('Input data'!$A11),NA(),IF('Input data'!$I$3=1,'Input data'!$B11,IF('Input data'!$I$3=2,'Input data'!$C11,'Input data'!$D11)))</f>
        <v>74.290000000000006</v>
      </c>
      <c r="C11" s="122">
        <f>IF(ISBLANK('Input data'!$B11),"",IFERROR((1+EXP(-$B$36*($A11-$B$35)))^-$B$37,0))</f>
        <v>0.98083457921039541</v>
      </c>
      <c r="D11" s="115">
        <f>IF(ISBLANK('Input data'!$B11),"",LS+(US-LS)*Xi_function)</f>
        <v>71.249373378701932</v>
      </c>
      <c r="E11" s="123">
        <f>IF(ISBLANK('Input data'!$B11),"",IFERROR($B11-Fit_Burr,0))</f>
        <v>3.0406266212980739</v>
      </c>
      <c r="F11" s="93"/>
      <c r="U11" s="120">
        <f t="shared" si="2"/>
        <v>-10</v>
      </c>
      <c r="V11" s="115">
        <f t="shared" si="0"/>
        <v>0.19059078043446867</v>
      </c>
      <c r="W11" s="146">
        <f t="shared" si="1"/>
        <v>15.456185575624573</v>
      </c>
      <c r="Y11" s="102"/>
    </row>
    <row r="12" spans="1:25" s="85" customFormat="1">
      <c r="A12" s="121">
        <f>IF(ISBLANK('Input data'!$A12),NA(),'Input data'!$A12)</f>
        <v>100</v>
      </c>
      <c r="B12" s="122">
        <f>IF(ISBLANK('Input data'!$A12),NA(),IF('Input data'!$I$3=1,'Input data'!$B12,IF('Input data'!$I$3=2,'Input data'!$C12,'Input data'!$D12)))</f>
        <v>75.22</v>
      </c>
      <c r="C12" s="122">
        <f>IF(ISBLANK('Input data'!$B12),"",IFERROR((1+EXP(-$B$36*($A12-$B$35)))^-$B$37,0))</f>
        <v>0.9951965049851299</v>
      </c>
      <c r="D12" s="115">
        <f>IF(ISBLANK('Input data'!$B12),"",LS+(US-LS)*Xi_function)</f>
        <v>72.263361243212628</v>
      </c>
      <c r="E12" s="123">
        <f>IF(ISBLANK('Input data'!$B12),"",IFERROR($B12-Fit_Burr,0))</f>
        <v>2.9566387567873704</v>
      </c>
      <c r="F12" s="93"/>
      <c r="U12" s="120">
        <f t="shared" si="2"/>
        <v>0</v>
      </c>
      <c r="V12" s="115">
        <f t="shared" si="0"/>
        <v>0.32616783052374659</v>
      </c>
      <c r="W12" s="146">
        <f t="shared" si="1"/>
        <v>25.028264254552816</v>
      </c>
      <c r="Y12" s="102"/>
    </row>
    <row r="13" spans="1:25" s="85" customFormat="1">
      <c r="A13" s="121">
        <f>IF(ISBLANK('Input data'!$A13),NA(),'Input data'!$A13)</f>
        <v>148</v>
      </c>
      <c r="B13" s="122">
        <f>IF(ISBLANK('Input data'!$A13),NA(),IF('Input data'!$I$3=1,'Input data'!$B13,IF('Input data'!$I$3=2,'Input data'!$C13,'Input data'!$D13)))</f>
        <v>71.5</v>
      </c>
      <c r="C13" s="122">
        <f>IF(ISBLANK('Input data'!$B13),"",IFERROR((1+EXP(-$B$36*($A13-$B$35)))^-$B$37,0))</f>
        <v>0.99970419028215796</v>
      </c>
      <c r="D13" s="115">
        <f>IF(ISBLANK('Input data'!$B13),"",LS+(US-LS)*Xi_function)</f>
        <v>72.581615094396042</v>
      </c>
      <c r="E13" s="123">
        <f>IF(ISBLANK('Input data'!$B13),"",IFERROR($B13-Fit_Burr,0))</f>
        <v>-1.0816150943960423</v>
      </c>
      <c r="F13" s="93"/>
      <c r="U13" s="120">
        <f t="shared" si="2"/>
        <v>10</v>
      </c>
      <c r="V13" s="115">
        <f t="shared" si="0"/>
        <v>0.48782592397696545</v>
      </c>
      <c r="W13" s="146">
        <f t="shared" si="1"/>
        <v>36.441729797583697</v>
      </c>
      <c r="Y13" s="102"/>
    </row>
    <row r="14" spans="1:25" s="85" customFormat="1">
      <c r="A14" s="121">
        <f>IF(ISBLANK('Input data'!$A14),NA(),'Input data'!$A14)</f>
        <v>198</v>
      </c>
      <c r="B14" s="122">
        <f>IF(ISBLANK('Input data'!$A14),NA(),IF('Input data'!$I$3=1,'Input data'!$B14,IF('Input data'!$I$3=2,'Input data'!$C14,'Input data'!$D14)))</f>
        <v>69.400000000000006</v>
      </c>
      <c r="C14" s="122">
        <f>IF(ISBLANK('Input data'!$B14),"",IFERROR((1+EXP(-$B$36*($A14-$B$35)))^-$B$37,0))</f>
        <v>0.99998383885724385</v>
      </c>
      <c r="D14" s="115">
        <f>IF(ISBLANK('Input data'!$B14),"",LS+(US-LS)*Xi_function)</f>
        <v>72.601358982918555</v>
      </c>
      <c r="E14" s="123">
        <f>IF(ISBLANK('Input data'!$B14),"",IFERROR($B14-Fit_Burr,0))</f>
        <v>-3.2013589829185491</v>
      </c>
      <c r="F14" s="93"/>
      <c r="U14" s="120">
        <f t="shared" si="2"/>
        <v>20</v>
      </c>
      <c r="V14" s="115">
        <f t="shared" si="0"/>
        <v>0.64428465633644094</v>
      </c>
      <c r="W14" s="146">
        <f t="shared" si="1"/>
        <v>47.488107448993567</v>
      </c>
      <c r="Y14" s="102"/>
    </row>
    <row r="15" spans="1:25" s="85" customFormat="1">
      <c r="A15" s="121" t="e">
        <f>IF(ISBLANK('Input data'!$A15),NA(),'Input data'!$A15)</f>
        <v>#N/A</v>
      </c>
      <c r="B15" s="122" t="e">
        <f>IF(ISBLANK('Input data'!$A15),NA(),IF('Input data'!$I$3=1,'Input data'!$B15,IF('Input data'!$I$3=2,'Input data'!$C15,'Input data'!$D15)))</f>
        <v>#N/A</v>
      </c>
      <c r="C15" s="122" t="str">
        <f>IF(ISBLANK('Input data'!$B15),"",IFERROR((1+EXP(-$B$36*($A15-$B$35)))^-$B$37,0))</f>
        <v/>
      </c>
      <c r="D15" s="115" t="str">
        <f>IF(ISBLANK('Input data'!$B15),"",LS+(US-LS)*Xi_function)</f>
        <v/>
      </c>
      <c r="E15" s="123" t="str">
        <f>IF(ISBLANK('Input data'!$B15),"",IFERROR($B15-Fit_Burr,0))</f>
        <v/>
      </c>
      <c r="F15" s="93"/>
      <c r="U15" s="120">
        <f t="shared" si="2"/>
        <v>30</v>
      </c>
      <c r="V15" s="115">
        <f t="shared" si="0"/>
        <v>0.7708077310842939</v>
      </c>
      <c r="W15" s="146">
        <f t="shared" si="1"/>
        <v>56.420952833878857</v>
      </c>
      <c r="Y15" s="102"/>
    </row>
    <row r="16" spans="1:25" s="85" customFormat="1">
      <c r="A16" s="121" t="e">
        <f>IF(ISBLANK('Input data'!$A16),NA(),'Input data'!$A16)</f>
        <v>#N/A</v>
      </c>
      <c r="B16" s="122" t="e">
        <f>IF(ISBLANK('Input data'!$A16),NA(),IF('Input data'!$I$3=1,'Input data'!$B16,IF('Input data'!$I$3=2,'Input data'!$C16,'Input data'!$D16)))</f>
        <v>#N/A</v>
      </c>
      <c r="C16" s="122" t="str">
        <f>IF(ISBLANK('Input data'!$B16),"",IFERROR((1+EXP(-$B$36*($A16-$B$35)))^-$B$37,0))</f>
        <v/>
      </c>
      <c r="D16" s="115" t="str">
        <f>IF(ISBLANK('Input data'!$B16),"",LS+(US-LS)*Xi_function)</f>
        <v/>
      </c>
      <c r="E16" s="123" t="str">
        <f>IF(ISBLANK('Input data'!$B16),"",IFERROR($B16-Fit_Burr,0))</f>
        <v/>
      </c>
      <c r="F16" s="93"/>
      <c r="U16" s="120">
        <f t="shared" si="2"/>
        <v>40</v>
      </c>
      <c r="V16" s="115">
        <f t="shared" si="0"/>
        <v>0.86013442963002373</v>
      </c>
      <c r="W16" s="146">
        <f t="shared" si="1"/>
        <v>62.727641067953741</v>
      </c>
      <c r="Y16" s="102"/>
    </row>
    <row r="17" spans="1:25" s="85" customFormat="1">
      <c r="A17" s="121" t="e">
        <f>IF(ISBLANK('Input data'!$A17),NA(),'Input data'!$A17)</f>
        <v>#N/A</v>
      </c>
      <c r="B17" s="122" t="e">
        <f>IF(ISBLANK('Input data'!$A17),NA(),IF('Input data'!$I$3=1,'Input data'!$B17,IF('Input data'!$I$3=2,'Input data'!$C17,'Input data'!$D17)))</f>
        <v>#N/A</v>
      </c>
      <c r="C17" s="122" t="str">
        <f>IF(ISBLANK('Input data'!$B17),"",IFERROR((1+EXP(-$B$36*($A17-$B$35)))^-$B$37,0))</f>
        <v/>
      </c>
      <c r="D17" s="115" t="str">
        <f>IF(ISBLANK('Input data'!$B17),"",LS+(US-LS)*Xi_function)</f>
        <v/>
      </c>
      <c r="E17" s="123" t="str">
        <f>IF(ISBLANK('Input data'!$B17),"",IFERROR($B17-Fit_Burr,0))</f>
        <v/>
      </c>
      <c r="F17" s="93"/>
      <c r="U17" s="120">
        <f t="shared" si="2"/>
        <v>50</v>
      </c>
      <c r="V17" s="115">
        <f t="shared" si="0"/>
        <v>0.91763233727386684</v>
      </c>
      <c r="W17" s="146">
        <f t="shared" si="1"/>
        <v>66.787137092378174</v>
      </c>
      <c r="Y17" s="102"/>
    </row>
    <row r="18" spans="1:25" s="85" customFormat="1">
      <c r="A18" s="121" t="e">
        <f>IF(ISBLANK('Input data'!$A18),NA(),'Input data'!$A18)</f>
        <v>#N/A</v>
      </c>
      <c r="B18" s="122" t="e">
        <f>IF(ISBLANK('Input data'!$A18),NA(),IF('Input data'!$I$3=1,'Input data'!$B18,IF('Input data'!$I$3=2,'Input data'!$C18,'Input data'!$D18)))</f>
        <v>#N/A</v>
      </c>
      <c r="C18" s="122" t="str">
        <f>IF(ISBLANK('Input data'!$B18),"",IFERROR((1+EXP(-$B$36*($A18-$B$35)))^-$B$37,0))</f>
        <v/>
      </c>
      <c r="D18" s="115" t="str">
        <f>IF(ISBLANK('Input data'!$B18),"",LS+(US-LS)*Xi_function)</f>
        <v/>
      </c>
      <c r="E18" s="123" t="str">
        <f>IF(ISBLANK('Input data'!$B18),"",IFERROR($B18-Fit_Burr,0))</f>
        <v/>
      </c>
      <c r="F18" s="93"/>
      <c r="U18" s="120">
        <f t="shared" si="2"/>
        <v>60</v>
      </c>
      <c r="V18" s="115">
        <f t="shared" si="0"/>
        <v>0.95254332523211893</v>
      </c>
      <c r="W18" s="146">
        <f t="shared" si="1"/>
        <v>69.251940119700663</v>
      </c>
      <c r="Y18" s="102"/>
    </row>
    <row r="19" spans="1:25" s="85" customFormat="1">
      <c r="A19" s="121" t="e">
        <f>IF(ISBLANK('Input data'!$A19),NA(),'Input data'!$A19)</f>
        <v>#N/A</v>
      </c>
      <c r="B19" s="122" t="e">
        <f>IF(ISBLANK('Input data'!$A19),NA(),IF('Input data'!$I$3=1,'Input data'!$B19,IF('Input data'!$I$3=2,'Input data'!$C19,'Input data'!$D19)))</f>
        <v>#N/A</v>
      </c>
      <c r="C19" s="122" t="str">
        <f>IF(ISBLANK('Input data'!$B19),"",IFERROR((1+EXP(-$B$36*($A19-$B$35)))^-$B$37,0))</f>
        <v/>
      </c>
      <c r="D19" s="115" t="str">
        <f>IF(ISBLANK('Input data'!$B19),"",LS+(US-LS)*Xi_function)</f>
        <v/>
      </c>
      <c r="E19" s="123" t="str">
        <f>IF(ISBLANK('Input data'!$B19),"",IFERROR($B19-Fit_Burr,0))</f>
        <v/>
      </c>
      <c r="F19" s="93"/>
      <c r="U19" s="120">
        <f t="shared" si="2"/>
        <v>70</v>
      </c>
      <c r="V19" s="115">
        <f t="shared" si="0"/>
        <v>0.97300872318226461</v>
      </c>
      <c r="W19" s="146">
        <f t="shared" si="1"/>
        <v>70.696848378475835</v>
      </c>
      <c r="Y19" s="102"/>
    </row>
    <row r="20" spans="1:25" s="85" customFormat="1">
      <c r="A20" s="121" t="e">
        <f>IF(ISBLANK('Input data'!$A20),NA(),'Input data'!$A20)</f>
        <v>#N/A</v>
      </c>
      <c r="B20" s="122" t="e">
        <f>IF(ISBLANK('Input data'!$A20),NA(),IF('Input data'!$I$3=1,'Input data'!$B20,IF('Input data'!$I$3=2,'Input data'!$C20,'Input data'!$D20)))</f>
        <v>#N/A</v>
      </c>
      <c r="C20" s="122" t="str">
        <f>IF(ISBLANK('Input data'!$B20),"",IFERROR((1+EXP(-$B$36*($A20-$B$35)))^-$B$37,0))</f>
        <v/>
      </c>
      <c r="D20" s="115" t="str">
        <f>IF(ISBLANK('Input data'!$B20),"",LS+(US-LS)*Xi_function)</f>
        <v/>
      </c>
      <c r="E20" s="123" t="str">
        <f>IF(ISBLANK('Input data'!$B20),"",IFERROR($B20-Fit_Burr,0))</f>
        <v/>
      </c>
      <c r="F20" s="93"/>
      <c r="U20" s="120">
        <f t="shared" si="2"/>
        <v>80</v>
      </c>
      <c r="V20" s="115">
        <f t="shared" si="0"/>
        <v>0.9847626105463676</v>
      </c>
      <c r="W20" s="146">
        <f t="shared" si="1"/>
        <v>71.526702211099916</v>
      </c>
      <c r="Y20" s="102"/>
    </row>
    <row r="21" spans="1:25" s="85" customFormat="1">
      <c r="A21" s="121" t="e">
        <f>IF(ISBLANK('Input data'!$A21),NA(),'Input data'!$A21)</f>
        <v>#N/A</v>
      </c>
      <c r="B21" s="122" t="e">
        <f>IF(ISBLANK('Input data'!$A21),NA(),IF('Input data'!$I$3=1,'Input data'!$B21,IF('Input data'!$I$3=2,'Input data'!$C21,'Input data'!$D21)))</f>
        <v>#N/A</v>
      </c>
      <c r="C21" s="122" t="str">
        <f>IF(ISBLANK('Input data'!$B21),"",IFERROR((1+EXP(-$B$36*($A21-$B$35)))^-$B$37,0))</f>
        <v/>
      </c>
      <c r="D21" s="115" t="str">
        <f>IF(ISBLANK('Input data'!$B21),"",LS+(US-LS)*Xi_function)</f>
        <v/>
      </c>
      <c r="E21" s="123" t="str">
        <f>IF(ISBLANK('Input data'!$B21),"",IFERROR($B21-Fit_Burr,0))</f>
        <v/>
      </c>
      <c r="F21" s="93"/>
      <c r="U21" s="120">
        <f t="shared" si="2"/>
        <v>90</v>
      </c>
      <c r="V21" s="115">
        <f t="shared" si="0"/>
        <v>0.99143446669374735</v>
      </c>
      <c r="W21" s="146">
        <f t="shared" si="1"/>
        <v>71.997751934745295</v>
      </c>
      <c r="Y21" s="102"/>
    </row>
    <row r="22" spans="1:25" s="85" customFormat="1">
      <c r="A22" s="121" t="e">
        <f>IF(ISBLANK('Input data'!$A22),NA(),'Input data'!$A22)</f>
        <v>#N/A</v>
      </c>
      <c r="B22" s="122" t="e">
        <f>IF(ISBLANK('Input data'!$A22),NA(),IF('Input data'!$I$3=1,'Input data'!$B22,IF('Input data'!$I$3=2,'Input data'!$C22,'Input data'!$D22)))</f>
        <v>#N/A</v>
      </c>
      <c r="C22" s="122" t="str">
        <f>IF(ISBLANK('Input data'!$B22),"",IFERROR((1+EXP(-$B$36*($A22-$B$35)))^-$B$37,0))</f>
        <v/>
      </c>
      <c r="D22" s="115" t="str">
        <f>IF(ISBLANK('Input data'!$B22),"",LS+(US-LS)*Xi_function)</f>
        <v/>
      </c>
      <c r="E22" s="123" t="str">
        <f>IF(ISBLANK('Input data'!$B22),"",IFERROR($B22-Fit_Burr,0))</f>
        <v/>
      </c>
      <c r="F22" s="93"/>
      <c r="U22" s="120">
        <f t="shared" si="2"/>
        <v>100</v>
      </c>
      <c r="V22" s="115">
        <f t="shared" si="0"/>
        <v>0.9951965049851299</v>
      </c>
      <c r="W22" s="146">
        <f t="shared" si="1"/>
        <v>72.263361243212628</v>
      </c>
      <c r="Y22" s="102"/>
    </row>
    <row r="23" spans="1:25" s="85" customFormat="1">
      <c r="A23" s="121" t="e">
        <f>IF(ISBLANK('Input data'!$A23),NA(),'Input data'!$A23)</f>
        <v>#N/A</v>
      </c>
      <c r="B23" s="122" t="e">
        <f>IF(ISBLANK('Input data'!$A23),NA(),IF('Input data'!$I$3=1,'Input data'!$B23,IF('Input data'!$I$3=2,'Input data'!$C23,'Input data'!$D23)))</f>
        <v>#N/A</v>
      </c>
      <c r="C23" s="122" t="str">
        <f>IF(ISBLANK('Input data'!$B23),"",IFERROR((1+EXP(-$B$36*($A23-$B$35)))^-$B$37,0))</f>
        <v/>
      </c>
      <c r="D23" s="115" t="str">
        <f>IF(ISBLANK('Input data'!$B23),"",LS+(US-LS)*Xi_function)</f>
        <v/>
      </c>
      <c r="E23" s="123" t="str">
        <f>IF(ISBLANK('Input data'!$B23),"",IFERROR($B23-Fit_Burr,0))</f>
        <v/>
      </c>
      <c r="F23" s="93"/>
      <c r="U23" s="120">
        <f t="shared" si="2"/>
        <v>110</v>
      </c>
      <c r="V23" s="115">
        <f t="shared" si="0"/>
        <v>0.99730985890563928</v>
      </c>
      <c r="W23" s="146">
        <f t="shared" si="1"/>
        <v>72.41256931338539</v>
      </c>
      <c r="Y23" s="102"/>
    </row>
    <row r="24" spans="1:25" s="85" customFormat="1">
      <c r="A24" s="121" t="e">
        <f>IF(ISBLANK('Input data'!$A24),NA(),'Input data'!$A24)</f>
        <v>#N/A</v>
      </c>
      <c r="B24" s="122" t="e">
        <f>IF(ISBLANK('Input data'!$A24),NA(),IF('Input data'!$I$3=1,'Input data'!$B24,IF('Input data'!$I$3=2,'Input data'!$C24,'Input data'!$D24)))</f>
        <v>#N/A</v>
      </c>
      <c r="C24" s="122" t="str">
        <f>IF(ISBLANK('Input data'!$B24),"",IFERROR((1+EXP(-$B$36*($A24-$B$35)))^-$B$37,0))</f>
        <v/>
      </c>
      <c r="D24" s="115" t="str">
        <f>IF(ISBLANK('Input data'!$B24),"",LS+(US-LS)*Xi_function)</f>
        <v/>
      </c>
      <c r="E24" s="123" t="str">
        <f>IF(ISBLANK('Input data'!$B24),"",IFERROR($B24-Fit_Burr,0))</f>
        <v/>
      </c>
      <c r="F24" s="93"/>
      <c r="U24" s="120">
        <f t="shared" si="2"/>
        <v>120</v>
      </c>
      <c r="V24" s="115">
        <f t="shared" si="0"/>
        <v>0.998494556162562</v>
      </c>
      <c r="W24" s="146">
        <f t="shared" si="1"/>
        <v>72.496211901467277</v>
      </c>
      <c r="Y24" s="102"/>
    </row>
    <row r="25" spans="1:25" s="85" customFormat="1">
      <c r="A25" s="121" t="e">
        <f>IF(ISBLANK('Input data'!$A25),NA(),'Input data'!$A25)</f>
        <v>#N/A</v>
      </c>
      <c r="B25" s="122" t="e">
        <f>IF(ISBLANK('Input data'!$A25),NA(),IF('Input data'!$I$3=1,'Input data'!$B25,IF('Input data'!$I$3=2,'Input data'!$C25,'Input data'!$D25)))</f>
        <v>#N/A</v>
      </c>
      <c r="C25" s="122" t="str">
        <f>IF(ISBLANK('Input data'!$B25),"",IFERROR((1+EXP(-$B$36*($A25-$B$35)))^-$B$37,0))</f>
        <v/>
      </c>
      <c r="D25" s="115" t="str">
        <f>IF(ISBLANK('Input data'!$B25),"",LS+(US-LS)*Xi_function)</f>
        <v/>
      </c>
      <c r="E25" s="123" t="str">
        <f>IF(ISBLANK('Input data'!$B25),"",IFERROR($B25-Fit_Burr,0))</f>
        <v/>
      </c>
      <c r="F25" s="93"/>
      <c r="U25" s="120">
        <f t="shared" si="2"/>
        <v>130</v>
      </c>
      <c r="V25" s="115">
        <f t="shared" si="0"/>
        <v>0.99915788726198496</v>
      </c>
      <c r="W25" s="146">
        <f t="shared" si="1"/>
        <v>72.543044735414284</v>
      </c>
      <c r="Y25" s="102"/>
    </row>
    <row r="26" spans="1:25" s="85" customFormat="1">
      <c r="A26" s="121" t="e">
        <f>IF(ISBLANK('Input data'!$A26),NA(),'Input data'!$A26)</f>
        <v>#N/A</v>
      </c>
      <c r="B26" s="122" t="e">
        <f>IF(ISBLANK('Input data'!$A26),NA(),IF('Input data'!$I$3=1,'Input data'!$B26,IF('Input data'!$I$3=2,'Input data'!$C26,'Input data'!$D26)))</f>
        <v>#N/A</v>
      </c>
      <c r="C26" s="122" t="str">
        <f>IF(ISBLANK('Input data'!$B26),"",IFERROR((1+EXP(-$B$36*($A26-$B$35)))^-$B$37,0))</f>
        <v/>
      </c>
      <c r="D26" s="115" t="str">
        <f>IF(ISBLANK('Input data'!$B26),"",LS+(US-LS)*Xi_function)</f>
        <v/>
      </c>
      <c r="E26" s="123" t="str">
        <f>IF(ISBLANK('Input data'!$B26),"",IFERROR($B26-Fit_Burr,0))</f>
        <v/>
      </c>
      <c r="F26" s="93"/>
      <c r="U26" s="120">
        <f t="shared" si="2"/>
        <v>140</v>
      </c>
      <c r="V26" s="115">
        <f t="shared" si="0"/>
        <v>0.99952905190601082</v>
      </c>
      <c r="W26" s="146">
        <f t="shared" si="1"/>
        <v>72.569249887194118</v>
      </c>
      <c r="Y26" s="102"/>
    </row>
    <row r="27" spans="1:25" s="85" customFormat="1">
      <c r="A27" s="121" t="e">
        <f>IF(ISBLANK('Input data'!$A27),NA(),'Input data'!$A27)</f>
        <v>#N/A</v>
      </c>
      <c r="B27" s="122" t="e">
        <f>IF(ISBLANK('Input data'!$A27),NA(),IF('Input data'!$I$3=1,'Input data'!$B27,IF('Input data'!$I$3=2,'Input data'!$C27,'Input data'!$D27)))</f>
        <v>#N/A</v>
      </c>
      <c r="C27" s="122" t="str">
        <f>IF(ISBLANK('Input data'!$B27),"",IFERROR((1+EXP(-$B$36*($A27-$B$35)))^-$B$37,0))</f>
        <v/>
      </c>
      <c r="D27" s="115" t="str">
        <f>IF(ISBLANK('Input data'!$B27),"",LS+(US-LS)*Xi_function)</f>
        <v/>
      </c>
      <c r="E27" s="123" t="str">
        <f>IF(ISBLANK('Input data'!$B27),"",IFERROR($B27-Fit_Burr,0))</f>
        <v/>
      </c>
      <c r="F27" s="93"/>
      <c r="U27" s="120">
        <f t="shared" si="2"/>
        <v>150</v>
      </c>
      <c r="V27" s="115">
        <f t="shared" si="0"/>
        <v>0.99973665910598464</v>
      </c>
      <c r="W27" s="146">
        <f t="shared" si="1"/>
        <v>72.583907474530278</v>
      </c>
      <c r="Y27" s="102"/>
    </row>
    <row r="28" spans="1:25" s="85" customFormat="1">
      <c r="A28" s="121" t="e">
        <f>IF(ISBLANK('Input data'!$A28),NA(),'Input data'!$A28)</f>
        <v>#N/A</v>
      </c>
      <c r="B28" s="122" t="e">
        <f>IF(ISBLANK('Input data'!$A28),NA(),IF('Input data'!$I$3=1,'Input data'!$B28,IF('Input data'!$I$3=2,'Input data'!$C28,'Input data'!$D28)))</f>
        <v>#N/A</v>
      </c>
      <c r="C28" s="122" t="str">
        <f>IF(ISBLANK('Input data'!$B28),"",IFERROR((1+EXP(-$B$36*($A28-$B$35)))^-$B$37,0))</f>
        <v/>
      </c>
      <c r="D28" s="115" t="str">
        <f>IF(ISBLANK('Input data'!$B28),"",LS+(US-LS)*Xi_function)</f>
        <v/>
      </c>
      <c r="E28" s="123" t="str">
        <f>IF(ISBLANK('Input data'!$B28),"",IFERROR($B28-Fit_Burr,0))</f>
        <v/>
      </c>
      <c r="F28" s="93"/>
      <c r="U28" s="120">
        <f t="shared" si="2"/>
        <v>160</v>
      </c>
      <c r="V28" s="115">
        <f t="shared" si="0"/>
        <v>0.99985275810923069</v>
      </c>
      <c r="W28" s="146">
        <f t="shared" si="1"/>
        <v>72.592104354406956</v>
      </c>
      <c r="Y28" s="102"/>
    </row>
    <row r="29" spans="1:25" s="85" customFormat="1">
      <c r="A29" s="121" t="e">
        <f>IF(ISBLANK('Input data'!$A29),NA(),'Input data'!$A29)</f>
        <v>#N/A</v>
      </c>
      <c r="B29" s="122" t="e">
        <f>IF(ISBLANK('Input data'!$A29),NA(),IF('Input data'!$I$3=1,'Input data'!$B29,IF('Input data'!$I$3=2,'Input data'!$C29,'Input data'!$D29)))</f>
        <v>#N/A</v>
      </c>
      <c r="C29" s="122" t="str">
        <f>IF(ISBLANK('Input data'!$B29),"",IFERROR((1+EXP(-$B$36*($A29-$B$35)))^-$B$37,0))</f>
        <v/>
      </c>
      <c r="D29" s="115" t="str">
        <f>IF(ISBLANK('Input data'!$B29),"",LS+(US-LS)*Xi_function)</f>
        <v/>
      </c>
      <c r="E29" s="123" t="str">
        <f>IF(ISBLANK('Input data'!$B29),"",IFERROR($B29-Fit_Burr,0))</f>
        <v/>
      </c>
      <c r="F29" s="93"/>
      <c r="U29" s="120">
        <f t="shared" si="2"/>
        <v>170</v>
      </c>
      <c r="V29" s="115">
        <f t="shared" si="0"/>
        <v>0.9999176759987759</v>
      </c>
      <c r="W29" s="146">
        <f t="shared" si="1"/>
        <v>72.596687719703567</v>
      </c>
      <c r="Y29" s="102"/>
    </row>
    <row r="30" spans="1:25" s="85" customFormat="1">
      <c r="A30" s="121" t="e">
        <f>IF(ISBLANK('Input data'!$A30),NA(),'Input data'!$A30)</f>
        <v>#N/A</v>
      </c>
      <c r="B30" s="122" t="e">
        <f>IF(ISBLANK('Input data'!$A30),NA(),IF('Input data'!$I$3=1,'Input data'!$B30,IF('Input data'!$I$3=2,'Input data'!$C30,'Input data'!$D30)))</f>
        <v>#N/A</v>
      </c>
      <c r="C30" s="122" t="str">
        <f>IF(ISBLANK('Input data'!$B30),"",IFERROR((1+EXP(-$B$36*($A30-$B$35)))^-$B$37,0))</f>
        <v/>
      </c>
      <c r="D30" s="115" t="str">
        <f>IF(ISBLANK('Input data'!$B30),"",LS+(US-LS)*Xi_function)</f>
        <v/>
      </c>
      <c r="E30" s="123" t="str">
        <f>IF(ISBLANK('Input data'!$B30),"",IFERROR($B30-Fit_Burr,0))</f>
        <v/>
      </c>
      <c r="F30" s="93"/>
      <c r="U30" s="120">
        <f t="shared" si="2"/>
        <v>180</v>
      </c>
      <c r="V30" s="115">
        <f t="shared" si="0"/>
        <v>0.99995397312457401</v>
      </c>
      <c r="W30" s="146">
        <f t="shared" si="1"/>
        <v>72.599250387527732</v>
      </c>
      <c r="Y30" s="102"/>
    </row>
    <row r="31" spans="1:25" s="85" customFormat="1">
      <c r="A31" s="121" t="e">
        <f>IF(ISBLANK('Input data'!$A31),NA(),'Input data'!$A31)</f>
        <v>#N/A</v>
      </c>
      <c r="B31" s="122" t="e">
        <f>IF(ISBLANK('Input data'!$A31),NA(),IF('Input data'!$I$3=1,'Input data'!$B31,IF('Input data'!$I$3=2,'Input data'!$C31,'Input data'!$D31)))</f>
        <v>#N/A</v>
      </c>
      <c r="C31" s="122" t="str">
        <f>IF(ISBLANK('Input data'!$B31),"",IFERROR((1+EXP(-$B$36*($A31-$B$35)))^-$B$37,0))</f>
        <v/>
      </c>
      <c r="D31" s="115" t="str">
        <f>IF(ISBLANK('Input data'!$B31),"",LS+(US-LS)*Xi_function)</f>
        <v/>
      </c>
      <c r="E31" s="123" t="str">
        <f>IF(ISBLANK('Input data'!$B31),"",IFERROR($B31-Fit_Burr,0))</f>
        <v/>
      </c>
      <c r="F31" s="93"/>
      <c r="U31" s="120">
        <f t="shared" si="2"/>
        <v>190</v>
      </c>
      <c r="V31" s="115">
        <f t="shared" si="0"/>
        <v>0.99997426697210245</v>
      </c>
      <c r="W31" s="146">
        <f t="shared" si="1"/>
        <v>72.600683183897857</v>
      </c>
      <c r="Y31" s="102"/>
    </row>
    <row r="32" spans="1:25" s="85" customFormat="1" ht="15.75" thickBot="1">
      <c r="A32" s="124" t="e">
        <f>IF(ISBLANK('Input data'!$A32),NA(),'Input data'!$A32)</f>
        <v>#N/A</v>
      </c>
      <c r="B32" s="125" t="e">
        <f>IF(ISBLANK('Input data'!$A32),NA(),IF('Input data'!$I$3=1,'Input data'!$B32,IF('Input data'!$I$3=2,'Input data'!$C32,'Input data'!$D32)))</f>
        <v>#N/A</v>
      </c>
      <c r="C32" s="125" t="str">
        <f>IF(ISBLANK('Input data'!$B32),"",IFERROR((1+EXP(-$B$36*($A32-$B$35)))^-$B$37,0))</f>
        <v/>
      </c>
      <c r="D32" s="126" t="str">
        <f>IF(ISBLANK('Input data'!$B32),"",LS+(US-LS)*Xi_function)</f>
        <v/>
      </c>
      <c r="E32" s="127" t="str">
        <f>IF(ISBLANK('Input data'!$B32),"",IFERROR($B32-Fit_Burr,0))</f>
        <v/>
      </c>
      <c r="F32" s="93"/>
      <c r="U32" s="120">
        <f t="shared" si="2"/>
        <v>200</v>
      </c>
      <c r="V32" s="115">
        <f t="shared" si="0"/>
        <v>0.99998561310271539</v>
      </c>
      <c r="W32" s="146">
        <f t="shared" si="1"/>
        <v>72.60148424908445</v>
      </c>
      <c r="Y32" s="102"/>
    </row>
    <row r="33" spans="1:25" s="85" customFormat="1">
      <c r="U33" s="120">
        <f t="shared" si="2"/>
        <v>210</v>
      </c>
      <c r="V33" s="115">
        <f t="shared" ref="V33" si="3">IFERROR((1+EXP(-k_Burr*($U33-T0_Burr)))^(-m_Burr),0)</f>
        <v>0.99999195656351714</v>
      </c>
      <c r="W33" s="146">
        <f t="shared" ref="W33" si="4">LS+(US-LS)*$V33</f>
        <v>72.601932113275709</v>
      </c>
      <c r="Y33" s="102"/>
    </row>
    <row r="34" spans="1:25" s="85" customFormat="1">
      <c r="C34" s="94"/>
      <c r="F34" s="94"/>
      <c r="U34" s="120">
        <f t="shared" ref="U34:U52" si="5">$U33+10</f>
        <v>220</v>
      </c>
      <c r="V34" s="115">
        <f t="shared" ref="V34:V52" si="6">IFERROR((1+EXP(-k_Burr*($U34-T0_Burr)))^(-m_Burr),0)</f>
        <v>0.99999550308014895</v>
      </c>
      <c r="W34" s="146">
        <f t="shared" ref="W34:W52" si="7">LS+(US-LS)*$V34</f>
        <v>72.602182506216209</v>
      </c>
    </row>
    <row r="35" spans="1:25" s="85" customFormat="1" ht="18">
      <c r="A35" s="96" t="s">
        <v>16</v>
      </c>
      <c r="B35" s="168">
        <v>1.8397013226769554E-4</v>
      </c>
      <c r="C35" s="98" t="s">
        <v>9</v>
      </c>
      <c r="D35" s="140" t="s">
        <v>22</v>
      </c>
      <c r="E35" s="145">
        <f>T0_Burr-LN((0.5^(-1/m_Burr))-1)/k_Burr</f>
        <v>10.741610522571808</v>
      </c>
      <c r="F35" s="141" t="s">
        <v>61</v>
      </c>
      <c r="H35" s="100">
        <f>DBTT_Burr</f>
        <v>10.741610522571808</v>
      </c>
      <c r="I35" s="100">
        <v>0</v>
      </c>
      <c r="U35" s="120">
        <f t="shared" si="5"/>
        <v>230</v>
      </c>
      <c r="V35" s="115">
        <f t="shared" si="6"/>
        <v>0.99999748586781301</v>
      </c>
      <c r="W35" s="146">
        <f t="shared" si="7"/>
        <v>72.602322495982264</v>
      </c>
    </row>
    <row r="36" spans="1:25" s="85" customFormat="1">
      <c r="A36" s="96" t="s">
        <v>18</v>
      </c>
      <c r="B36" s="171">
        <v>5.8146660059153775E-2</v>
      </c>
      <c r="C36" s="142"/>
      <c r="H36" s="100">
        <f>DBTT_Burr</f>
        <v>10.741610522571808</v>
      </c>
      <c r="I36" s="100">
        <f>(LS+US)/2</f>
        <v>37.301249999999996</v>
      </c>
      <c r="U36" s="120">
        <f t="shared" si="5"/>
        <v>240</v>
      </c>
      <c r="V36" s="115">
        <f t="shared" si="6"/>
        <v>0.99999859440319372</v>
      </c>
      <c r="W36" s="146">
        <f t="shared" si="7"/>
        <v>72.602400761351475</v>
      </c>
    </row>
    <row r="37" spans="1:25" s="85" customFormat="1">
      <c r="A37" s="96" t="s">
        <v>19</v>
      </c>
      <c r="B37" s="171">
        <v>1.6163011246980374</v>
      </c>
      <c r="C37" s="142"/>
      <c r="U37" s="120">
        <f t="shared" si="5"/>
        <v>250</v>
      </c>
      <c r="V37" s="115">
        <f t="shared" si="6"/>
        <v>0.99999921416160586</v>
      </c>
      <c r="W37" s="146">
        <f t="shared" si="7"/>
        <v>72.602444517844773</v>
      </c>
    </row>
    <row r="38" spans="1:25" s="85" customFormat="1" ht="15.75" thickBot="1">
      <c r="E38" s="100"/>
      <c r="F38" s="100"/>
      <c r="U38" s="120">
        <f t="shared" si="5"/>
        <v>260</v>
      </c>
      <c r="V38" s="115">
        <f t="shared" si="6"/>
        <v>0.9999995606550599</v>
      </c>
      <c r="W38" s="146">
        <f t="shared" si="7"/>
        <v>72.60246898114886</v>
      </c>
    </row>
    <row r="39" spans="1:25" s="85" customFormat="1" ht="15.75" thickBot="1">
      <c r="A39" s="102" t="s">
        <v>10</v>
      </c>
      <c r="B39" s="128">
        <f>SUMSQ(E3:E32)</f>
        <v>48.878330677895086</v>
      </c>
      <c r="C39" s="103" t="s">
        <v>38</v>
      </c>
      <c r="E39" s="113"/>
      <c r="F39" s="113"/>
      <c r="G39" s="187" t="s">
        <v>60</v>
      </c>
      <c r="H39" s="188"/>
      <c r="U39" s="120">
        <f t="shared" si="5"/>
        <v>270</v>
      </c>
      <c r="V39" s="115">
        <f t="shared" si="6"/>
        <v>0.99999975437194955</v>
      </c>
      <c r="W39" s="146">
        <f t="shared" si="7"/>
        <v>72.60248265804556</v>
      </c>
    </row>
    <row r="40" spans="1:25" s="85" customFormat="1">
      <c r="A40" s="102" t="s">
        <v>17</v>
      </c>
      <c r="B40" s="114">
        <f>COUNT(A3:A32)-3</f>
        <v>9</v>
      </c>
      <c r="C40" s="104" t="s">
        <v>37</v>
      </c>
      <c r="G40" s="134" t="str">
        <f>IF(Fit_index=1,"KV (J)",IF(Fit_index=2,"LE (mm)","SFA (%)"))</f>
        <v>KV (J)</v>
      </c>
      <c r="H40" s="135" t="s">
        <v>56</v>
      </c>
      <c r="U40" s="120">
        <f t="shared" si="5"/>
        <v>280</v>
      </c>
      <c r="V40" s="115">
        <f t="shared" si="6"/>
        <v>0.99999986267479279</v>
      </c>
      <c r="W40" s="146">
        <f t="shared" si="7"/>
        <v>72.602490304497053</v>
      </c>
    </row>
    <row r="41" spans="1:25" s="85" customFormat="1">
      <c r="A41" s="102" t="s">
        <v>39</v>
      </c>
      <c r="B41" s="129">
        <f>SQRT(SSR_Burr/df_Burr)</f>
        <v>2.3304346441977795</v>
      </c>
      <c r="C41" s="85" t="str">
        <f>IF('Input data'!$I$3=1,"J (root mean square error)",IF('Input data'!$I$3=2,"mm (root mean square error)","% (root mean square error)"))</f>
        <v>J (root mean square error)</v>
      </c>
      <c r="F41" s="143"/>
      <c r="G41" s="169">
        <v>28</v>
      </c>
      <c r="H41" s="130">
        <f>IF(ISBLANK($G41),"",IFERROR(T0_Burr-$J41/k_Burr,"N/A"))</f>
        <v>2.687806458077763</v>
      </c>
      <c r="J41" s="136">
        <f>LN((($G41-LS)/(US-LS))^(-1/m_Burr)-1)</f>
        <v>-0.15627627117390383</v>
      </c>
      <c r="U41" s="120">
        <f t="shared" si="5"/>
        <v>290</v>
      </c>
      <c r="V41" s="115">
        <f t="shared" si="6"/>
        <v>0.99999992322451858</v>
      </c>
      <c r="W41" s="146">
        <f t="shared" si="7"/>
        <v>72.602494579459062</v>
      </c>
    </row>
    <row r="42" spans="1:25" s="85" customFormat="1" ht="15.75" thickBot="1">
      <c r="G42" s="170">
        <v>41</v>
      </c>
      <c r="H42" s="131">
        <f>IF(ISBLANK($G42),"",IFERROR(T0_Burr-$J42/k_Burr,"N/A"))</f>
        <v>13.975888028577737</v>
      </c>
      <c r="J42" s="136">
        <f>LN((($G42-LS)/(US-LS))^(-1/m_Burr)-1)</f>
        <v>-0.8126405129737645</v>
      </c>
      <c r="U42" s="120">
        <f t="shared" si="5"/>
        <v>300</v>
      </c>
      <c r="V42" s="115">
        <f t="shared" si="6"/>
        <v>0.99999995707653</v>
      </c>
      <c r="W42" s="146">
        <f t="shared" si="7"/>
        <v>72.602496969495704</v>
      </c>
    </row>
    <row r="43" spans="1:25" s="85" customFormat="1">
      <c r="U43" s="120">
        <f t="shared" si="5"/>
        <v>310</v>
      </c>
      <c r="V43" s="115">
        <f t="shared" si="6"/>
        <v>0.99999997600243951</v>
      </c>
      <c r="W43" s="146">
        <f t="shared" si="7"/>
        <v>72.602498305712231</v>
      </c>
      <c r="Y43" s="102"/>
    </row>
    <row r="44" spans="1:25" s="85" customFormat="1" ht="15.75" thickBot="1">
      <c r="G44" s="137"/>
      <c r="U44" s="120">
        <f t="shared" si="5"/>
        <v>320</v>
      </c>
      <c r="V44" s="115">
        <f t="shared" si="6"/>
        <v>0.99999998658349609</v>
      </c>
      <c r="W44" s="146">
        <f t="shared" si="7"/>
        <v>72.602499052761274</v>
      </c>
      <c r="Y44" s="102"/>
    </row>
    <row r="45" spans="1:25" s="85" customFormat="1" ht="15.75" thickBot="1">
      <c r="B45" s="111" t="s">
        <v>44</v>
      </c>
      <c r="C45" s="132">
        <f>2*(COUNT(B35:B37)+1)+COUNT(Temperatures)*LN(SSR_Burr/COUNT(Temperatures))</f>
        <v>24.853130156695293</v>
      </c>
      <c r="D45" s="189" t="s">
        <v>45</v>
      </c>
      <c r="E45" s="189"/>
      <c r="F45" s="189"/>
      <c r="G45" s="189"/>
      <c r="U45" s="120">
        <f t="shared" si="5"/>
        <v>330</v>
      </c>
      <c r="V45" s="115">
        <f t="shared" si="6"/>
        <v>0.99999999249913019</v>
      </c>
      <c r="W45" s="146">
        <f t="shared" si="7"/>
        <v>72.602499470419829</v>
      </c>
      <c r="Y45" s="102"/>
    </row>
    <row r="46" spans="1:25" s="85" customFormat="1" ht="15.75" thickBot="1">
      <c r="B46" s="111" t="s">
        <v>46</v>
      </c>
      <c r="C46" s="132">
        <f>(COUNT(B35:B37)+1)*LN(COUNT(Temperatures))+COUNT(Temperatures)*LN(SSR_Burr/COUNT(Temperatures))</f>
        <v>26.792756755847293</v>
      </c>
      <c r="D46" s="189" t="s">
        <v>47</v>
      </c>
      <c r="E46" s="189"/>
      <c r="F46" s="189"/>
      <c r="G46" s="189"/>
      <c r="U46" s="120">
        <f t="shared" si="5"/>
        <v>340</v>
      </c>
      <c r="V46" s="115">
        <f t="shared" si="6"/>
        <v>0.99999999580643006</v>
      </c>
      <c r="W46" s="146">
        <f t="shared" si="7"/>
        <v>72.602499703923471</v>
      </c>
      <c r="Y46" s="102"/>
    </row>
    <row r="47" spans="1:25" s="85" customFormat="1">
      <c r="U47" s="120">
        <f t="shared" si="5"/>
        <v>350</v>
      </c>
      <c r="V47" s="115">
        <f t="shared" si="6"/>
        <v>0.9999999976554681</v>
      </c>
      <c r="W47" s="146">
        <f t="shared" si="7"/>
        <v>72.60249983447018</v>
      </c>
      <c r="Y47" s="102"/>
    </row>
    <row r="48" spans="1:25" s="85" customFormat="1">
      <c r="U48" s="120">
        <f t="shared" si="5"/>
        <v>360</v>
      </c>
      <c r="V48" s="115">
        <f t="shared" si="6"/>
        <v>0.99999999868922407</v>
      </c>
      <c r="W48" s="146">
        <f t="shared" si="7"/>
        <v>72.602499907455936</v>
      </c>
      <c r="Y48" s="102"/>
    </row>
    <row r="49" spans="2:27">
      <c r="U49" s="120">
        <f t="shared" si="5"/>
        <v>370</v>
      </c>
      <c r="V49" s="115">
        <f t="shared" si="6"/>
        <v>0.99999999926717442</v>
      </c>
      <c r="W49" s="146">
        <f t="shared" si="7"/>
        <v>72.602499948260672</v>
      </c>
      <c r="X49" s="85"/>
      <c r="Y49" s="102"/>
      <c r="AA49" s="85"/>
    </row>
    <row r="50" spans="2:27">
      <c r="U50" s="120">
        <f t="shared" si="5"/>
        <v>380</v>
      </c>
      <c r="V50" s="115">
        <f t="shared" si="6"/>
        <v>0.99999999959029329</v>
      </c>
      <c r="W50" s="146">
        <f t="shared" si="7"/>
        <v>72.602499971073669</v>
      </c>
      <c r="X50" s="85"/>
      <c r="Y50" s="102"/>
      <c r="AA50" s="85"/>
    </row>
    <row r="51" spans="2:27">
      <c r="U51" s="120">
        <f t="shared" si="5"/>
        <v>390</v>
      </c>
      <c r="V51" s="115">
        <f t="shared" si="6"/>
        <v>0.99999999977094212</v>
      </c>
      <c r="W51" s="146">
        <f t="shared" si="7"/>
        <v>72.60249998382794</v>
      </c>
      <c r="X51" s="85"/>
      <c r="Y51" s="102"/>
      <c r="AA51" s="85"/>
    </row>
    <row r="52" spans="2:27">
      <c r="U52" s="120">
        <f t="shared" si="5"/>
        <v>400</v>
      </c>
      <c r="V52" s="115">
        <f t="shared" si="6"/>
        <v>0.99999999987193866</v>
      </c>
      <c r="W52" s="146">
        <f t="shared" si="7"/>
        <v>72.602499990958535</v>
      </c>
      <c r="X52" s="85"/>
      <c r="Y52" s="102"/>
      <c r="AA52" s="85"/>
    </row>
    <row r="54" spans="2:27">
      <c r="W54" s="144"/>
      <c r="X54" s="144"/>
    </row>
    <row r="55" spans="2:27">
      <c r="W55" s="144"/>
      <c r="X55" s="144"/>
    </row>
    <row r="56" spans="2:27">
      <c r="B56" s="86"/>
      <c r="C56" s="86"/>
      <c r="W56" s="144"/>
      <c r="X56" s="144"/>
    </row>
    <row r="57" spans="2:27">
      <c r="B57" s="86"/>
      <c r="W57" s="113">
        <f>NORMSINV(0.05)</f>
        <v>-1.6448536269514726</v>
      </c>
      <c r="X57" s="113" t="e">
        <f>PERCENTILE($AV$3:$AV$32,0.05)</f>
        <v>#NUM!</v>
      </c>
    </row>
    <row r="58" spans="2:27">
      <c r="W58" s="113">
        <f>NORMSINV(0.95)</f>
        <v>1.6448536269514715</v>
      </c>
      <c r="X58" s="113" t="e">
        <f>PERCENTILE($AV$3:$AV$32,0.95)</f>
        <v>#NUM!</v>
      </c>
    </row>
    <row r="59" spans="2:27">
      <c r="W59" s="144"/>
      <c r="X59" s="144"/>
    </row>
    <row r="60" spans="2:27">
      <c r="W60" s="144"/>
      <c r="X60" s="144"/>
    </row>
    <row r="61" spans="2:27">
      <c r="W61" s="144"/>
      <c r="X61" s="144"/>
    </row>
    <row r="62" spans="2:27">
      <c r="W62" s="144"/>
      <c r="X62" s="144"/>
    </row>
    <row r="63" spans="2:27">
      <c r="W63" s="144"/>
      <c r="X63" s="144"/>
    </row>
    <row r="64" spans="2:27">
      <c r="W64" s="144"/>
      <c r="X64" s="144"/>
    </row>
    <row r="65" spans="23:24">
      <c r="W65" s="144"/>
      <c r="X65" s="144"/>
    </row>
    <row r="66" spans="23:24">
      <c r="W66" s="144"/>
      <c r="X66" s="144"/>
    </row>
  </sheetData>
  <sheetProtection sheet="1" scenarios="1"/>
  <mergeCells count="4">
    <mergeCell ref="C1:C2"/>
    <mergeCell ref="D45:G45"/>
    <mergeCell ref="D46:G46"/>
    <mergeCell ref="G39:H39"/>
  </mergeCells>
  <conditionalFormatting sqref="A3:B32">
    <cfRule type="expression" dxfId="11" priority="6">
      <formula>ISNA($A3)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3" name="Button 2">
              <controlPr defaultSize="0" print="0" autoFill="0" autoPict="0" macro="[0]!Module1.Fit_Burr">
                <anchor moveWithCells="1" sizeWithCells="1">
                  <from>
                    <xdr:col>6</xdr:col>
                    <xdr:colOff>342900</xdr:colOff>
                    <xdr:row>33</xdr:row>
                    <xdr:rowOff>180975</xdr:rowOff>
                  </from>
                  <to>
                    <xdr:col>7</xdr:col>
                    <xdr:colOff>171450</xdr:colOff>
                    <xdr:row>35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4" name="Button 3">
              <controlPr defaultSize="0" print="0" autoFill="0" autoPict="0" macro="[0]!Scale_auto">
                <anchor moveWithCells="1" sizeWithCells="1">
                  <from>
                    <xdr:col>5</xdr:col>
                    <xdr:colOff>447675</xdr:colOff>
                    <xdr:row>0</xdr:row>
                    <xdr:rowOff>19050</xdr:rowOff>
                  </from>
                  <to>
                    <xdr:col>6</xdr:col>
                    <xdr:colOff>600075</xdr:colOff>
                    <xdr:row>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5" name="Button 4">
              <controlPr defaultSize="0" print="0" autoFill="0" autoPict="0" macro="[0]!Scale_SFA">
                <anchor moveWithCells="1" sizeWithCells="1">
                  <from>
                    <xdr:col>5</xdr:col>
                    <xdr:colOff>438150</xdr:colOff>
                    <xdr:row>2</xdr:row>
                    <xdr:rowOff>95250</xdr:rowOff>
                  </from>
                  <to>
                    <xdr:col>6</xdr:col>
                    <xdr:colOff>590550</xdr:colOff>
                    <xdr:row>4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3A0D50-0951-4C78-9C31-C05C74352437}">
  <sheetPr codeName="Sheet7"/>
  <dimension ref="A1:DF58"/>
  <sheetViews>
    <sheetView topLeftCell="A23" workbookViewId="0">
      <selection activeCell="C45" sqref="C45:C46"/>
    </sheetView>
  </sheetViews>
  <sheetFormatPr defaultRowHeight="15"/>
  <cols>
    <col min="1" max="4" width="9.140625" style="85"/>
    <col min="5" max="6" width="10.7109375" style="85" customWidth="1"/>
    <col min="7" max="21" width="9.140625" style="85"/>
    <col min="22" max="23" width="8.85546875" style="86"/>
    <col min="24" max="25" width="9.140625" style="85"/>
    <col min="26" max="27" width="9.140625" style="50"/>
    <col min="28" max="28" width="12.7109375" style="50" bestFit="1" customWidth="1"/>
    <col min="29" max="38" width="9.140625" style="50"/>
    <col min="39" max="39" width="9.5703125" style="50" bestFit="1" customWidth="1"/>
    <col min="40" max="42" width="9.140625" style="50"/>
    <col min="43" max="44" width="9.140625" style="50" customWidth="1"/>
    <col min="45" max="110" width="9.140625" style="50"/>
    <col min="111" max="16384" width="9.140625" style="85"/>
  </cols>
  <sheetData>
    <row r="1" spans="1:110" ht="15.75" thickBot="1">
      <c r="A1" s="80" t="s">
        <v>0</v>
      </c>
      <c r="B1" s="81" t="str">
        <f>IF('Input data'!$I$3=1,"KV",IF('Input data'!$I$3=2,"LE","SFA"))</f>
        <v>KV</v>
      </c>
      <c r="C1" s="82" t="s">
        <v>8</v>
      </c>
      <c r="D1" s="83" t="s">
        <v>11</v>
      </c>
      <c r="T1" s="86" t="s">
        <v>12</v>
      </c>
      <c r="U1" s="86" t="s">
        <v>13</v>
      </c>
      <c r="V1" s="85"/>
      <c r="W1" s="85"/>
      <c r="X1" s="50"/>
      <c r="Y1" s="50"/>
      <c r="DE1" s="85"/>
      <c r="DF1" s="85"/>
    </row>
    <row r="2" spans="1:110" ht="16.5" thickTop="1" thickBot="1">
      <c r="A2" s="87" t="s">
        <v>4</v>
      </c>
      <c r="B2" s="88" t="str">
        <f>IF('Input data'!$I$3=1,"(J)",IF('Input data'!$I$3=2,"(mm)","(%)"))</f>
        <v>(J)</v>
      </c>
      <c r="C2" s="89" t="str">
        <f>IF('Input data'!$I$3=1,"(J)",IF('Input data'!$I$3=2,"(mm)","(%)"))</f>
        <v>(J)</v>
      </c>
      <c r="D2" s="90" t="str">
        <f>IF('Input data'!$I$3=1,"(J)",IF('Input data'!$I$3=2,"(mm)","(%)"))</f>
        <v>(J)</v>
      </c>
      <c r="T2" s="92">
        <v>-100</v>
      </c>
      <c r="U2" s="115">
        <f t="shared" ref="U2:U33" si="0">(LS+US)/2+(US-LS)/PI()*ATAN(PI()*(T2-$B$35)/(2*$B$36))</f>
        <v>4.6407241550455467</v>
      </c>
      <c r="V2" s="85"/>
      <c r="W2" s="85"/>
      <c r="X2" s="50"/>
      <c r="Y2" s="50"/>
      <c r="DE2" s="85"/>
      <c r="DF2" s="85"/>
    </row>
    <row r="3" spans="1:110">
      <c r="A3" s="121">
        <f>IF(ISBLANK('Input data'!$A3),NA(),'Input data'!$A3)</f>
        <v>-80</v>
      </c>
      <c r="B3" s="122">
        <f>IF(ISBLANK('Input data'!$A3),NA(),IF('Input data'!$I$3=1,'Input data'!$B3,IF('Input data'!$I$3=2,'Input data'!$C3,'Input data'!$D3)))</f>
        <v>2.4</v>
      </c>
      <c r="C3" s="115">
        <f>IF(ISBLANK('Input data'!$B3),"",(LS+US)/2+(US-LS)/PI()*ATAN(PI()*($A3-DBTT_ARCTAN)/(2*C_ARCTAN)))</f>
        <v>5.2131886315417475</v>
      </c>
      <c r="D3" s="123">
        <f>IF(ISBLANK('Input data'!$B3),"",$B3-Fit_ARCTAN)</f>
        <v>-2.8131886315417476</v>
      </c>
      <c r="T3" s="120">
        <f>T2+10</f>
        <v>-90</v>
      </c>
      <c r="U3" s="115">
        <f t="shared" si="0"/>
        <v>4.8991206876203321</v>
      </c>
      <c r="V3" s="85"/>
      <c r="W3" s="85"/>
      <c r="X3" s="50"/>
      <c r="Y3" s="50"/>
      <c r="DE3" s="85"/>
      <c r="DF3" s="85"/>
    </row>
    <row r="4" spans="1:110">
      <c r="A4" s="121">
        <f>IF(ISBLANK('Input data'!$A4),NA(),'Input data'!$A4)</f>
        <v>-50</v>
      </c>
      <c r="B4" s="122">
        <f>IF(ISBLANK('Input data'!$A4),NA(),IF('Input data'!$I$3=1,'Input data'!$B4,IF('Input data'!$I$3=2,'Input data'!$C4,'Input data'!$D4)))</f>
        <v>4.13</v>
      </c>
      <c r="C4" s="122">
        <f>IF(ISBLANK('Input data'!$B4),"",(LS+US)/2+(US-LS)/PI()*ATAN(PI()*($A4-DBTT_ARCTAN)/(2*C_ARCTAN)))</f>
        <v>6.7512649538026217</v>
      </c>
      <c r="D4" s="123">
        <f>IF(ISBLANK('Input data'!$B4),"",$B4-Fit_ARCTAN)</f>
        <v>-2.6212649538026218</v>
      </c>
      <c r="T4" s="120">
        <f t="shared" ref="T4:T52" si="1">T3+10</f>
        <v>-80</v>
      </c>
      <c r="U4" s="115">
        <f t="shared" si="0"/>
        <v>5.2131886315417475</v>
      </c>
      <c r="V4" s="85"/>
      <c r="W4" s="85"/>
      <c r="X4" s="50"/>
      <c r="Y4" s="50"/>
      <c r="DE4" s="85"/>
      <c r="DF4" s="85"/>
    </row>
    <row r="5" spans="1:110">
      <c r="A5" s="121">
        <f>IF(ISBLANK('Input data'!$A5),NA(),'Input data'!$A5)</f>
        <v>-35</v>
      </c>
      <c r="B5" s="122">
        <f>IF(ISBLANK('Input data'!$A5),NA(),IF('Input data'!$I$3=1,'Input data'!$B5,IF('Input data'!$I$3=2,'Input data'!$C5,'Input data'!$D5)))</f>
        <v>4.13</v>
      </c>
      <c r="C5" s="115">
        <f>IF(ISBLANK('Input data'!$B5),"",(LS+US)/2+(US-LS)/PI()*ATAN(PI()*($A5-DBTT_ARCTAN)/(2*C_ARCTAN)))</f>
        <v>8.2277282309001407</v>
      </c>
      <c r="D5" s="123">
        <f>IF(ISBLANK('Input data'!$B5),"",$B5-Fit_ARCTAN)</f>
        <v>-4.0977282309001408</v>
      </c>
      <c r="T5" s="120">
        <f t="shared" si="1"/>
        <v>-70</v>
      </c>
      <c r="U5" s="115">
        <f t="shared" si="0"/>
        <v>5.6029174340278338</v>
      </c>
      <c r="V5" s="85"/>
      <c r="W5" s="85"/>
      <c r="X5" s="50"/>
      <c r="Y5" s="50"/>
      <c r="DE5" s="85"/>
      <c r="DF5" s="85"/>
    </row>
    <row r="6" spans="1:110">
      <c r="A6" s="121">
        <f>IF(ISBLANK('Input data'!$A6),NA(),'Input data'!$A6)</f>
        <v>-15</v>
      </c>
      <c r="B6" s="122">
        <f>IF(ISBLANK('Input data'!$A6),NA(),IF('Input data'!$I$3=1,'Input data'!$B6,IF('Input data'!$I$3=2,'Input data'!$C6,'Input data'!$D6)))</f>
        <v>10.210000000000001</v>
      </c>
      <c r="C6" s="115">
        <f>IF(ISBLANK('Input data'!$B6),"",(LS+US)/2+(US-LS)/PI()*ATAN(PI()*($A6-DBTT_ARCTAN)/(2*C_ARCTAN)))</f>
        <v>12.460204544114386</v>
      </c>
      <c r="D6" s="123">
        <f>IF(ISBLANK('Input data'!$B6),"",$B6-Fit_ARCTAN)</f>
        <v>-2.2502045441143856</v>
      </c>
      <c r="T6" s="120">
        <f t="shared" si="1"/>
        <v>-60</v>
      </c>
      <c r="U6" s="115">
        <f t="shared" si="0"/>
        <v>6.0990438494677441</v>
      </c>
      <c r="V6" s="85"/>
      <c r="W6" s="85"/>
      <c r="X6" s="50"/>
      <c r="Y6" s="50"/>
      <c r="DE6" s="85"/>
      <c r="DF6" s="85"/>
    </row>
    <row r="7" spans="1:110">
      <c r="A7" s="121">
        <f>IF(ISBLANK('Input data'!$A7),NA(),'Input data'!$A7)</f>
        <v>0</v>
      </c>
      <c r="B7" s="122">
        <f>IF(ISBLANK('Input data'!$A7),NA(),IF('Input data'!$I$3=1,'Input data'!$B7,IF('Input data'!$I$3=2,'Input data'!$C7,'Input data'!$D7)))</f>
        <v>27.99</v>
      </c>
      <c r="C7" s="115">
        <f>IF(ISBLANK('Input data'!$B7),"",(LS+US)/2+(US-LS)/PI()*ATAN(PI()*($A7-DBTT_ARCTAN)/(2*C_ARCTAN)))</f>
        <v>21.501624064486251</v>
      </c>
      <c r="D7" s="123">
        <f>IF(ISBLANK('Input data'!$B7),"",$B7-Fit_ARCTAN)</f>
        <v>6.4883759355137478</v>
      </c>
      <c r="T7" s="120">
        <f t="shared" si="1"/>
        <v>-50</v>
      </c>
      <c r="U7" s="115">
        <f t="shared" si="0"/>
        <v>6.7512649538026217</v>
      </c>
      <c r="V7" s="85"/>
      <c r="W7" s="85"/>
      <c r="X7" s="50"/>
      <c r="Y7" s="50"/>
      <c r="DE7" s="85"/>
      <c r="DF7" s="85"/>
    </row>
    <row r="8" spans="1:110">
      <c r="A8" s="121">
        <f>IF(ISBLANK('Input data'!$A8),NA(),'Input data'!$A8)</f>
        <v>10</v>
      </c>
      <c r="B8" s="122">
        <f>IF(ISBLANK('Input data'!$A8),NA(),IF('Input data'!$I$3=1,'Input data'!$B8,IF('Input data'!$I$3=2,'Input data'!$C8,'Input data'!$D8)))</f>
        <v>34.25</v>
      </c>
      <c r="C8" s="115">
        <f>IF(ISBLANK('Input data'!$B8),"",(LS+US)/2+(US-LS)/PI()*ATAN(PI()*($A8-DBTT_ARCTAN)/(2*C_ARCTAN)))</f>
        <v>35.392825371864163</v>
      </c>
      <c r="D8" s="123">
        <f>IF(ISBLANK('Input data'!$B8),"",$B8-Fit_ARCTAN)</f>
        <v>-1.1428253718641628</v>
      </c>
      <c r="T8" s="120">
        <f t="shared" si="1"/>
        <v>-40</v>
      </c>
      <c r="U8" s="115">
        <f t="shared" si="0"/>
        <v>7.6451342939850271</v>
      </c>
      <c r="V8" s="85"/>
      <c r="W8" s="85"/>
      <c r="X8" s="50"/>
      <c r="Y8" s="50"/>
      <c r="DE8" s="85"/>
      <c r="DF8" s="85"/>
    </row>
    <row r="9" spans="1:110">
      <c r="A9" s="121">
        <f>IF(ISBLANK('Input data'!$A9),NA(),'Input data'!$A9)</f>
        <v>21</v>
      </c>
      <c r="B9" s="122">
        <f>IF(ISBLANK('Input data'!$A9),NA(),IF('Input data'!$I$3=1,'Input data'!$B9,IF('Input data'!$I$3=2,'Input data'!$C9,'Input data'!$D9)))</f>
        <v>48.86</v>
      </c>
      <c r="C9" s="115">
        <f>IF(ISBLANK('Input data'!$B9),"",(LS+US)/2+(US-LS)/PI()*ATAN(PI()*($A9-DBTT_ARCTAN)/(2*C_ARCTAN)))</f>
        <v>51.812896281856453</v>
      </c>
      <c r="D9" s="123">
        <f>IF(ISBLANK('Input data'!$B9),"",$B9-Fit_ARCTAN)</f>
        <v>-2.9528962818564537</v>
      </c>
      <c r="T9" s="120">
        <f t="shared" si="1"/>
        <v>-30</v>
      </c>
      <c r="U9" s="115">
        <f t="shared" si="0"/>
        <v>8.9401486309551572</v>
      </c>
      <c r="V9" s="85"/>
      <c r="W9" s="85"/>
      <c r="X9" s="50"/>
      <c r="Y9" s="50"/>
      <c r="DE9" s="85"/>
      <c r="DF9" s="85"/>
    </row>
    <row r="10" spans="1:110">
      <c r="A10" s="121">
        <f>IF(ISBLANK('Input data'!$A10),NA(),'Input data'!$A10)</f>
        <v>40</v>
      </c>
      <c r="B10" s="122">
        <f>IF(ISBLANK('Input data'!$A10),NA(),IF('Input data'!$I$3=1,'Input data'!$B10,IF('Input data'!$I$3=2,'Input data'!$C10,'Input data'!$D10)))</f>
        <v>61.88</v>
      </c>
      <c r="C10" s="115">
        <f>IF(ISBLANK('Input data'!$B10),"",(LS+US)/2+(US-LS)/PI()*ATAN(PI()*($A10-DBTT_ARCTAN)/(2*C_ARCTAN)))</f>
        <v>63.022280892049466</v>
      </c>
      <c r="D10" s="123">
        <f>IF(ISBLANK('Input data'!$B10),"",$B10-Fit_ARCTAN)</f>
        <v>-1.1422808920494631</v>
      </c>
      <c r="T10" s="120">
        <f t="shared" si="1"/>
        <v>-20</v>
      </c>
      <c r="U10" s="115">
        <f t="shared" si="0"/>
        <v>10.965603610303283</v>
      </c>
      <c r="V10" s="85"/>
      <c r="W10" s="85"/>
      <c r="X10" s="50"/>
      <c r="Y10" s="50"/>
      <c r="DE10" s="85"/>
      <c r="DF10" s="85"/>
    </row>
    <row r="11" spans="1:110">
      <c r="A11" s="121">
        <f>IF(ISBLANK('Input data'!$A11),NA(),'Input data'!$A11)</f>
        <v>76</v>
      </c>
      <c r="B11" s="122">
        <f>IF(ISBLANK('Input data'!$A11),NA(),IF('Input data'!$I$3=1,'Input data'!$B11,IF('Input data'!$I$3=2,'Input data'!$C11,'Input data'!$D11)))</f>
        <v>74.290000000000006</v>
      </c>
      <c r="C11" s="115">
        <f>IF(ISBLANK('Input data'!$B11),"",(LS+US)/2+(US-LS)/PI()*ATAN(PI()*($A11-DBTT_ARCTAN)/(2*C_ARCTAN)))</f>
        <v>68.119600130810667</v>
      </c>
      <c r="D11" s="123">
        <f>IF(ISBLANK('Input data'!$B11),"",$B11-Fit_ARCTAN)</f>
        <v>6.1703998691893389</v>
      </c>
      <c r="T11" s="120">
        <f t="shared" si="1"/>
        <v>-10</v>
      </c>
      <c r="U11" s="115">
        <f t="shared" si="0"/>
        <v>14.491734743221034</v>
      </c>
      <c r="V11" s="85"/>
      <c r="W11" s="85"/>
      <c r="X11" s="50"/>
      <c r="Y11" s="50"/>
      <c r="DE11" s="85"/>
      <c r="DF11" s="85"/>
    </row>
    <row r="12" spans="1:110">
      <c r="A12" s="121">
        <f>IF(ISBLANK('Input data'!$A12),NA(),'Input data'!$A12)</f>
        <v>100</v>
      </c>
      <c r="B12" s="122">
        <f>IF(ISBLANK('Input data'!$A12),NA(),IF('Input data'!$I$3=1,'Input data'!$B12,IF('Input data'!$I$3=2,'Input data'!$C12,'Input data'!$D12)))</f>
        <v>75.22</v>
      </c>
      <c r="C12" s="115">
        <f>IF(ISBLANK('Input data'!$B12),"",(LS+US)/2+(US-LS)/PI()*ATAN(PI()*($A12-DBTT_ARCTAN)/(2*C_ARCTAN)))</f>
        <v>69.309718406759913</v>
      </c>
      <c r="D12" s="123">
        <f>IF(ISBLANK('Input data'!$B12),"",$B12-Fit_ARCTAN)</f>
        <v>5.9102815932400858</v>
      </c>
      <c r="T12" s="120">
        <f t="shared" si="1"/>
        <v>0</v>
      </c>
      <c r="U12" s="115">
        <f t="shared" si="0"/>
        <v>21.501624064486251</v>
      </c>
      <c r="V12" s="85"/>
      <c r="W12" s="85"/>
      <c r="X12" s="50"/>
      <c r="Y12" s="50"/>
      <c r="DE12" s="85"/>
      <c r="DF12" s="85"/>
    </row>
    <row r="13" spans="1:110">
      <c r="A13" s="121">
        <f>IF(ISBLANK('Input data'!$A13),NA(),'Input data'!$A13)</f>
        <v>148</v>
      </c>
      <c r="B13" s="122">
        <f>IF(ISBLANK('Input data'!$A13),NA(),IF('Input data'!$I$3=1,'Input data'!$B13,IF('Input data'!$I$3=2,'Input data'!$C13,'Input data'!$D13)))</f>
        <v>71.5</v>
      </c>
      <c r="C13" s="115">
        <f>IF(ISBLANK('Input data'!$B13),"",(LS+US)/2+(US-LS)/PI()*ATAN(PI()*($A13-DBTT_ARCTAN)/(2*C_ARCTAN)))</f>
        <v>70.455499244588538</v>
      </c>
      <c r="D13" s="123">
        <f>IF(ISBLANK('Input data'!$B13),"",$B13-Fit_ARCTAN)</f>
        <v>1.0445007554114625</v>
      </c>
      <c r="T13" s="120">
        <f t="shared" si="1"/>
        <v>10</v>
      </c>
      <c r="U13" s="115">
        <f t="shared" si="0"/>
        <v>35.392825371864163</v>
      </c>
      <c r="V13" s="85"/>
      <c r="W13" s="85"/>
      <c r="X13" s="50"/>
      <c r="Y13" s="50"/>
      <c r="DE13" s="85"/>
      <c r="DF13" s="85"/>
    </row>
    <row r="14" spans="1:110">
      <c r="A14" s="121">
        <f>IF(ISBLANK('Input data'!$A14),NA(),'Input data'!$A14)</f>
        <v>198</v>
      </c>
      <c r="B14" s="122">
        <f>IF(ISBLANK('Input data'!$A14),NA(),IF('Input data'!$I$3=1,'Input data'!$B14,IF('Input data'!$I$3=2,'Input data'!$C14,'Input data'!$D14)))</f>
        <v>69.400000000000006</v>
      </c>
      <c r="C14" s="115">
        <f>IF(ISBLANK('Input data'!$B14),"",(LS+US)/2+(US-LS)/PI()*ATAN(PI()*($A14-DBTT_ARCTAN)/(2*C_ARCTAN)))</f>
        <v>71.027702567392808</v>
      </c>
      <c r="D14" s="123">
        <f>IF(ISBLANK('Input data'!$B14),"",$B14-Fit_ARCTAN)</f>
        <v>-1.6277025673928023</v>
      </c>
      <c r="T14" s="120">
        <f t="shared" si="1"/>
        <v>20</v>
      </c>
      <c r="U14" s="115">
        <f t="shared" si="0"/>
        <v>50.679438246134204</v>
      </c>
      <c r="V14" s="85"/>
      <c r="W14" s="85"/>
      <c r="X14" s="50"/>
      <c r="Y14" s="50"/>
      <c r="DE14" s="85"/>
      <c r="DF14" s="85"/>
    </row>
    <row r="15" spans="1:110">
      <c r="A15" s="121" t="e">
        <f>IF(ISBLANK('Input data'!$A15),NA(),'Input data'!$A15)</f>
        <v>#N/A</v>
      </c>
      <c r="B15" s="122" t="e">
        <f>IF(ISBLANK('Input data'!$A15),NA(),IF('Input data'!$I$3=1,'Input data'!$B15,IF('Input data'!$I$3=2,'Input data'!$C15,'Input data'!$D15)))</f>
        <v>#N/A</v>
      </c>
      <c r="C15" s="115" t="str">
        <f>IF(ISBLANK('Input data'!$B15),"",(LS+US)/2+(US-LS)/PI()*ATAN(PI()*($A15-DBTT_ARCTAN)/(2*C_ARCTAN)))</f>
        <v/>
      </c>
      <c r="D15" s="123" t="str">
        <f>IF(ISBLANK('Input data'!$B15),"",$B15-Fit_ARCTAN)</f>
        <v/>
      </c>
      <c r="T15" s="120">
        <f t="shared" si="1"/>
        <v>30</v>
      </c>
      <c r="U15" s="115">
        <f t="shared" si="0"/>
        <v>58.95850245244587</v>
      </c>
      <c r="V15" s="85"/>
      <c r="W15" s="85"/>
      <c r="X15" s="50"/>
      <c r="Y15" s="50"/>
      <c r="DE15" s="85"/>
      <c r="DF15" s="85"/>
    </row>
    <row r="16" spans="1:110">
      <c r="A16" s="121" t="e">
        <f>IF(ISBLANK('Input data'!$A16),NA(),'Input data'!$A16)</f>
        <v>#N/A</v>
      </c>
      <c r="B16" s="122" t="e">
        <f>IF(ISBLANK('Input data'!$A16),NA(),IF('Input data'!$I$3=1,'Input data'!$B16,IF('Input data'!$I$3=2,'Input data'!$C16,'Input data'!$D16)))</f>
        <v>#N/A</v>
      </c>
      <c r="C16" s="115" t="str">
        <f>IF(ISBLANK('Input data'!$B16),"",(LS+US)/2+(US-LS)/PI()*ATAN(PI()*($A16-DBTT_ARCTAN)/(2*C_ARCTAN)))</f>
        <v/>
      </c>
      <c r="D16" s="123" t="str">
        <f>IF(ISBLANK('Input data'!$B16),"",$B16-Fit_ARCTAN)</f>
        <v/>
      </c>
      <c r="T16" s="120">
        <f t="shared" si="1"/>
        <v>40</v>
      </c>
      <c r="U16" s="115">
        <f t="shared" si="0"/>
        <v>63.022280892049466</v>
      </c>
      <c r="V16" s="85"/>
      <c r="W16" s="85"/>
      <c r="X16" s="50"/>
      <c r="Y16" s="50"/>
      <c r="DE16" s="85"/>
      <c r="DF16" s="85"/>
    </row>
    <row r="17" spans="1:110">
      <c r="A17" s="121" t="e">
        <f>IF(ISBLANK('Input data'!$A17),NA(),'Input data'!$A17)</f>
        <v>#N/A</v>
      </c>
      <c r="B17" s="122" t="e">
        <f>IF(ISBLANK('Input data'!$A17),NA(),IF('Input data'!$I$3=1,'Input data'!$B17,IF('Input data'!$I$3=2,'Input data'!$C17,'Input data'!$D17)))</f>
        <v>#N/A</v>
      </c>
      <c r="C17" s="115" t="str">
        <f>IF(ISBLANK('Input data'!$B17),"",(LS+US)/2+(US-LS)/PI()*ATAN(PI()*($A17-DBTT_ARCTAN)/(2*C_ARCTAN)))</f>
        <v/>
      </c>
      <c r="D17" s="123" t="str">
        <f>IF(ISBLANK('Input data'!$B17),"",$B17-Fit_ARCTAN)</f>
        <v/>
      </c>
      <c r="T17" s="120">
        <f t="shared" si="1"/>
        <v>50</v>
      </c>
      <c r="U17" s="115">
        <f t="shared" si="0"/>
        <v>65.290634059468175</v>
      </c>
      <c r="V17" s="85"/>
      <c r="W17" s="85"/>
      <c r="X17" s="50"/>
      <c r="Y17" s="50"/>
      <c r="DE17" s="85"/>
      <c r="DF17" s="85"/>
    </row>
    <row r="18" spans="1:110">
      <c r="A18" s="121" t="e">
        <f>IF(ISBLANK('Input data'!$A18),NA(),'Input data'!$A18)</f>
        <v>#N/A</v>
      </c>
      <c r="B18" s="122" t="e">
        <f>IF(ISBLANK('Input data'!$A18),NA(),IF('Input data'!$I$3=1,'Input data'!$B18,IF('Input data'!$I$3=2,'Input data'!$C18,'Input data'!$D18)))</f>
        <v>#N/A</v>
      </c>
      <c r="C18" s="115" t="str">
        <f>IF(ISBLANK('Input data'!$B18),"",(LS+US)/2+(US-LS)/PI()*ATAN(PI()*($A18-DBTT_ARCTAN)/(2*C_ARCTAN)))</f>
        <v/>
      </c>
      <c r="D18" s="123" t="str">
        <f>IF(ISBLANK('Input data'!$B18),"",$B18-Fit_ARCTAN)</f>
        <v/>
      </c>
      <c r="T18" s="120">
        <f t="shared" si="1"/>
        <v>60</v>
      </c>
      <c r="U18" s="115">
        <f t="shared" si="0"/>
        <v>66.710895729483269</v>
      </c>
      <c r="V18" s="85"/>
      <c r="W18" s="85"/>
      <c r="X18" s="50"/>
      <c r="Y18" s="50"/>
      <c r="DE18" s="85"/>
      <c r="DF18" s="85"/>
    </row>
    <row r="19" spans="1:110">
      <c r="A19" s="121" t="e">
        <f>IF(ISBLANK('Input data'!$A19),NA(),'Input data'!$A19)</f>
        <v>#N/A</v>
      </c>
      <c r="B19" s="122" t="e">
        <f>IF(ISBLANK('Input data'!$A19),NA(),IF('Input data'!$I$3=1,'Input data'!$B19,IF('Input data'!$I$3=2,'Input data'!$C19,'Input data'!$D19)))</f>
        <v>#N/A</v>
      </c>
      <c r="C19" s="115" t="str">
        <f>IF(ISBLANK('Input data'!$B19),"",(LS+US)/2+(US-LS)/PI()*ATAN(PI()*($A19-DBTT_ARCTAN)/(2*C_ARCTAN)))</f>
        <v/>
      </c>
      <c r="D19" s="123" t="str">
        <f>IF(ISBLANK('Input data'!$B19),"",$B19-Fit_ARCTAN)</f>
        <v/>
      </c>
      <c r="T19" s="120">
        <f t="shared" si="1"/>
        <v>70</v>
      </c>
      <c r="U19" s="115">
        <f t="shared" si="0"/>
        <v>67.676660434251133</v>
      </c>
      <c r="V19" s="85"/>
      <c r="W19" s="85"/>
      <c r="X19" s="50"/>
      <c r="Y19" s="50"/>
      <c r="DE19" s="85"/>
      <c r="DF19" s="85"/>
    </row>
    <row r="20" spans="1:110">
      <c r="A20" s="121" t="e">
        <f>IF(ISBLANK('Input data'!$A20),NA(),'Input data'!$A20)</f>
        <v>#N/A</v>
      </c>
      <c r="B20" s="122" t="e">
        <f>IF(ISBLANK('Input data'!$A20),NA(),IF('Input data'!$I$3=1,'Input data'!$B20,IF('Input data'!$I$3=2,'Input data'!$C20,'Input data'!$D20)))</f>
        <v>#N/A</v>
      </c>
      <c r="C20" s="115" t="str">
        <f>IF(ISBLANK('Input data'!$B20),"",(LS+US)/2+(US-LS)/PI()*ATAN(PI()*($A20-DBTT_ARCTAN)/(2*C_ARCTAN)))</f>
        <v/>
      </c>
      <c r="D20" s="123" t="str">
        <f>IF(ISBLANK('Input data'!$B20),"",$B20-Fit_ARCTAN)</f>
        <v/>
      </c>
      <c r="T20" s="120">
        <f t="shared" si="1"/>
        <v>80</v>
      </c>
      <c r="U20" s="115">
        <f t="shared" si="0"/>
        <v>68.373635934409762</v>
      </c>
      <c r="V20" s="85"/>
      <c r="W20" s="85"/>
      <c r="X20" s="50"/>
      <c r="Y20" s="50"/>
      <c r="DE20" s="85"/>
      <c r="DF20" s="85"/>
    </row>
    <row r="21" spans="1:110">
      <c r="A21" s="121" t="e">
        <f>IF(ISBLANK('Input data'!$A21),NA(),'Input data'!$A21)</f>
        <v>#N/A</v>
      </c>
      <c r="B21" s="122" t="e">
        <f>IF(ISBLANK('Input data'!$A21),NA(),IF('Input data'!$I$3=1,'Input data'!$B21,IF('Input data'!$I$3=2,'Input data'!$C21,'Input data'!$D21)))</f>
        <v>#N/A</v>
      </c>
      <c r="C21" s="115" t="str">
        <f>IF(ISBLANK('Input data'!$B21),"",(LS+US)/2+(US-LS)/PI()*ATAN(PI()*($A21-DBTT_ARCTAN)/(2*C_ARCTAN)))</f>
        <v/>
      </c>
      <c r="D21" s="123" t="str">
        <f>IF(ISBLANK('Input data'!$B21),"",$B21-Fit_ARCTAN)</f>
        <v/>
      </c>
      <c r="T21" s="120">
        <f t="shared" si="1"/>
        <v>90</v>
      </c>
      <c r="U21" s="115">
        <f t="shared" si="0"/>
        <v>68.899397560275474</v>
      </c>
      <c r="V21" s="85"/>
      <c r="W21" s="85"/>
      <c r="X21" s="50"/>
      <c r="Y21" s="50"/>
      <c r="DE21" s="85"/>
      <c r="DF21" s="85"/>
    </row>
    <row r="22" spans="1:110">
      <c r="A22" s="121" t="e">
        <f>IF(ISBLANK('Input data'!$A22),NA(),'Input data'!$A22)</f>
        <v>#N/A</v>
      </c>
      <c r="B22" s="122" t="e">
        <f>IF(ISBLANK('Input data'!$A22),NA(),IF('Input data'!$I$3=1,'Input data'!$B22,IF('Input data'!$I$3=2,'Input data'!$C22,'Input data'!$D22)))</f>
        <v>#N/A</v>
      </c>
      <c r="C22" s="115" t="str">
        <f>IF(ISBLANK('Input data'!$B22),"",(LS+US)/2+(US-LS)/PI()*ATAN(PI()*($A22-DBTT_ARCTAN)/(2*C_ARCTAN)))</f>
        <v/>
      </c>
      <c r="D22" s="123" t="str">
        <f>IF(ISBLANK('Input data'!$B22),"",$B22-Fit_ARCTAN)</f>
        <v/>
      </c>
      <c r="T22" s="120">
        <f t="shared" si="1"/>
        <v>100</v>
      </c>
      <c r="U22" s="115">
        <f t="shared" si="0"/>
        <v>69.309718406759913</v>
      </c>
      <c r="V22" s="85"/>
      <c r="W22" s="85"/>
      <c r="X22" s="50"/>
      <c r="Y22" s="50"/>
      <c r="DE22" s="85"/>
      <c r="DF22" s="85"/>
    </row>
    <row r="23" spans="1:110">
      <c r="A23" s="121" t="e">
        <f>IF(ISBLANK('Input data'!$A23),NA(),'Input data'!$A23)</f>
        <v>#N/A</v>
      </c>
      <c r="B23" s="122" t="e">
        <f>IF(ISBLANK('Input data'!$A23),NA(),IF('Input data'!$I$3=1,'Input data'!$B23,IF('Input data'!$I$3=2,'Input data'!$C23,'Input data'!$D23)))</f>
        <v>#N/A</v>
      </c>
      <c r="C23" s="115" t="str">
        <f>IF(ISBLANK('Input data'!$B23),"",(LS+US)/2+(US-LS)/PI()*ATAN(PI()*($A23-DBTT_ARCTAN)/(2*C_ARCTAN)))</f>
        <v/>
      </c>
      <c r="D23" s="123" t="str">
        <f>IF(ISBLANK('Input data'!$B23),"",$B23-Fit_ARCTAN)</f>
        <v/>
      </c>
      <c r="T23" s="120">
        <f t="shared" si="1"/>
        <v>110</v>
      </c>
      <c r="U23" s="115">
        <f t="shared" si="0"/>
        <v>69.638654948369435</v>
      </c>
      <c r="V23" s="85"/>
      <c r="W23" s="85"/>
      <c r="X23" s="50"/>
      <c r="Y23" s="50"/>
      <c r="DE23" s="85"/>
      <c r="DF23" s="85"/>
    </row>
    <row r="24" spans="1:110">
      <c r="A24" s="121" t="e">
        <f>IF(ISBLANK('Input data'!$A24),NA(),'Input data'!$A24)</f>
        <v>#N/A</v>
      </c>
      <c r="B24" s="122" t="e">
        <f>IF(ISBLANK('Input data'!$A24),NA(),IF('Input data'!$I$3=1,'Input data'!$B24,IF('Input data'!$I$3=2,'Input data'!$C24,'Input data'!$D24)))</f>
        <v>#N/A</v>
      </c>
      <c r="C24" s="115" t="str">
        <f>IF(ISBLANK('Input data'!$B24),"",(LS+US)/2+(US-LS)/PI()*ATAN(PI()*($A24-DBTT_ARCTAN)/(2*C_ARCTAN)))</f>
        <v/>
      </c>
      <c r="D24" s="123" t="str">
        <f>IF(ISBLANK('Input data'!$B24),"",$B24-Fit_ARCTAN)</f>
        <v/>
      </c>
      <c r="T24" s="120">
        <f t="shared" si="1"/>
        <v>120</v>
      </c>
      <c r="U24" s="115">
        <f t="shared" si="0"/>
        <v>69.908128222019442</v>
      </c>
      <c r="V24" s="85"/>
      <c r="W24" s="85"/>
      <c r="X24" s="50"/>
      <c r="Y24" s="50"/>
      <c r="DE24" s="85"/>
      <c r="DF24" s="85"/>
    </row>
    <row r="25" spans="1:110">
      <c r="A25" s="121" t="e">
        <f>IF(ISBLANK('Input data'!$A25),NA(),'Input data'!$A25)</f>
        <v>#N/A</v>
      </c>
      <c r="B25" s="122" t="e">
        <f>IF(ISBLANK('Input data'!$A25),NA(),IF('Input data'!$I$3=1,'Input data'!$B25,IF('Input data'!$I$3=2,'Input data'!$C25,'Input data'!$D25)))</f>
        <v>#N/A</v>
      </c>
      <c r="C25" s="115" t="str">
        <f>IF(ISBLANK('Input data'!$B25),"",(LS+US)/2+(US-LS)/PI()*ATAN(PI()*($A25-DBTT_ARCTAN)/(2*C_ARCTAN)))</f>
        <v/>
      </c>
      <c r="D25" s="123" t="str">
        <f>IF(ISBLANK('Input data'!$B25),"",$B25-Fit_ARCTAN)</f>
        <v/>
      </c>
      <c r="T25" s="120">
        <f t="shared" si="1"/>
        <v>130</v>
      </c>
      <c r="U25" s="115">
        <f t="shared" si="0"/>
        <v>70.132865415744078</v>
      </c>
      <c r="V25" s="85"/>
      <c r="W25" s="85"/>
      <c r="X25" s="50"/>
      <c r="Y25" s="50"/>
      <c r="DE25" s="85"/>
      <c r="DF25" s="85"/>
    </row>
    <row r="26" spans="1:110">
      <c r="A26" s="121" t="e">
        <f>IF(ISBLANK('Input data'!$A26),NA(),'Input data'!$A26)</f>
        <v>#N/A</v>
      </c>
      <c r="B26" s="122" t="e">
        <f>IF(ISBLANK('Input data'!$A26),NA(),IF('Input data'!$I$3=1,'Input data'!$B26,IF('Input data'!$I$3=2,'Input data'!$C26,'Input data'!$D26)))</f>
        <v>#N/A</v>
      </c>
      <c r="C26" s="115" t="str">
        <f>IF(ISBLANK('Input data'!$B26),"",(LS+US)/2+(US-LS)/PI()*ATAN(PI()*($A26-DBTT_ARCTAN)/(2*C_ARCTAN)))</f>
        <v/>
      </c>
      <c r="D26" s="123" t="str">
        <f>IF(ISBLANK('Input data'!$B26),"",$B26-Fit_ARCTAN)</f>
        <v/>
      </c>
      <c r="T26" s="120">
        <f t="shared" si="1"/>
        <v>140</v>
      </c>
      <c r="U26" s="115">
        <f t="shared" si="0"/>
        <v>70.323117185440026</v>
      </c>
      <c r="V26" s="85"/>
      <c r="W26" s="85"/>
      <c r="X26" s="50"/>
      <c r="Y26" s="50"/>
      <c r="DE26" s="85"/>
      <c r="DF26" s="85"/>
    </row>
    <row r="27" spans="1:110">
      <c r="A27" s="121" t="e">
        <f>IF(ISBLANK('Input data'!$A27),NA(),'Input data'!$A27)</f>
        <v>#N/A</v>
      </c>
      <c r="B27" s="122" t="e">
        <f>IF(ISBLANK('Input data'!$A27),NA(),IF('Input data'!$I$3=1,'Input data'!$B27,IF('Input data'!$I$3=2,'Input data'!$C27,'Input data'!$D27)))</f>
        <v>#N/A</v>
      </c>
      <c r="C27" s="115" t="str">
        <f>IF(ISBLANK('Input data'!$B27),"",(LS+US)/2+(US-LS)/PI()*ATAN(PI()*($A27-DBTT_ARCTAN)/(2*C_ARCTAN)))</f>
        <v/>
      </c>
      <c r="D27" s="123" t="str">
        <f>IF(ISBLANK('Input data'!$B27),"",$B27-Fit_ARCTAN)</f>
        <v/>
      </c>
      <c r="T27" s="120">
        <f t="shared" si="1"/>
        <v>150</v>
      </c>
      <c r="U27" s="115">
        <f t="shared" si="0"/>
        <v>70.486233498544834</v>
      </c>
      <c r="V27" s="85"/>
      <c r="W27" s="85"/>
      <c r="X27" s="50"/>
      <c r="Y27" s="50"/>
      <c r="DE27" s="85"/>
      <c r="DF27" s="85"/>
    </row>
    <row r="28" spans="1:110">
      <c r="A28" s="121" t="e">
        <f>IF(ISBLANK('Input data'!$A28),NA(),'Input data'!$A28)</f>
        <v>#N/A</v>
      </c>
      <c r="B28" s="122" t="e">
        <f>IF(ISBLANK('Input data'!$A28),NA(),IF('Input data'!$I$3=1,'Input data'!$B28,IF('Input data'!$I$3=2,'Input data'!$C28,'Input data'!$D28)))</f>
        <v>#N/A</v>
      </c>
      <c r="C28" s="115" t="str">
        <f>IF(ISBLANK('Input data'!$B28),"",(LS+US)/2+(US-LS)/PI()*ATAN(PI()*($A28-DBTT_ARCTAN)/(2*C_ARCTAN)))</f>
        <v/>
      </c>
      <c r="D28" s="123" t="str">
        <f>IF(ISBLANK('Input data'!$B28),"",$B28-Fit_ARCTAN)</f>
        <v/>
      </c>
      <c r="T28" s="120">
        <f t="shared" si="1"/>
        <v>160</v>
      </c>
      <c r="U28" s="115">
        <f t="shared" si="0"/>
        <v>70.627619303981973</v>
      </c>
      <c r="V28" s="85"/>
      <c r="W28" s="85"/>
      <c r="X28" s="50"/>
      <c r="Y28" s="50"/>
      <c r="DE28" s="85"/>
      <c r="DF28" s="85"/>
    </row>
    <row r="29" spans="1:110">
      <c r="A29" s="121" t="e">
        <f>IF(ISBLANK('Input data'!$A29),NA(),'Input data'!$A29)</f>
        <v>#N/A</v>
      </c>
      <c r="B29" s="122" t="e">
        <f>IF(ISBLANK('Input data'!$A29),NA(),IF('Input data'!$I$3=1,'Input data'!$B29,IF('Input data'!$I$3=2,'Input data'!$C29,'Input data'!$D29)))</f>
        <v>#N/A</v>
      </c>
      <c r="C29" s="115" t="str">
        <f>IF(ISBLANK('Input data'!$B29),"",(LS+US)/2+(US-LS)/PI()*ATAN(PI()*($A29-DBTT_ARCTAN)/(2*C_ARCTAN)))</f>
        <v/>
      </c>
      <c r="D29" s="123" t="str">
        <f>IF(ISBLANK('Input data'!$B29),"",$B29-Fit_ARCTAN)</f>
        <v/>
      </c>
      <c r="T29" s="120">
        <f t="shared" si="1"/>
        <v>170</v>
      </c>
      <c r="U29" s="115">
        <f t="shared" si="0"/>
        <v>70.751336581764775</v>
      </c>
      <c r="V29" s="85"/>
      <c r="W29" s="85"/>
      <c r="X29" s="50"/>
      <c r="Y29" s="50"/>
      <c r="DE29" s="85"/>
      <c r="DF29" s="85"/>
    </row>
    <row r="30" spans="1:110">
      <c r="A30" s="121" t="e">
        <f>IF(ISBLANK('Input data'!$A30),NA(),'Input data'!$A30)</f>
        <v>#N/A</v>
      </c>
      <c r="B30" s="122" t="e">
        <f>IF(ISBLANK('Input data'!$A30),NA(),IF('Input data'!$I$3=1,'Input data'!$B30,IF('Input data'!$I$3=2,'Input data'!$C30,'Input data'!$D30)))</f>
        <v>#N/A</v>
      </c>
      <c r="C30" s="115" t="str">
        <f>IF(ISBLANK('Input data'!$B30),"",(LS+US)/2+(US-LS)/PI()*ATAN(PI()*($A30-DBTT_ARCTAN)/(2*C_ARCTAN)))</f>
        <v/>
      </c>
      <c r="D30" s="123" t="str">
        <f>IF(ISBLANK('Input data'!$B30),"",$B30-Fit_ARCTAN)</f>
        <v/>
      </c>
      <c r="T30" s="120">
        <f t="shared" si="1"/>
        <v>180</v>
      </c>
      <c r="U30" s="115">
        <f t="shared" si="0"/>
        <v>70.860496247773867</v>
      </c>
      <c r="V30" s="85"/>
      <c r="W30" s="85"/>
      <c r="X30" s="50"/>
      <c r="Y30" s="50"/>
      <c r="DE30" s="85"/>
      <c r="DF30" s="85"/>
    </row>
    <row r="31" spans="1:110">
      <c r="A31" s="121" t="e">
        <f>IF(ISBLANK('Input data'!$A31),NA(),'Input data'!$A31)</f>
        <v>#N/A</v>
      </c>
      <c r="B31" s="122" t="e">
        <f>IF(ISBLANK('Input data'!$A31),NA(),IF('Input data'!$I$3=1,'Input data'!$B31,IF('Input data'!$I$3=2,'Input data'!$C31,'Input data'!$D31)))</f>
        <v>#N/A</v>
      </c>
      <c r="C31" s="115" t="str">
        <f>IF(ISBLANK('Input data'!$B31),"",(LS+US)/2+(US-LS)/PI()*ATAN(PI()*($A31-DBTT_ARCTAN)/(2*C_ARCTAN)))</f>
        <v/>
      </c>
      <c r="D31" s="123" t="str">
        <f>IF(ISBLANK('Input data'!$B31),"",$B31-Fit_ARCTAN)</f>
        <v/>
      </c>
      <c r="T31" s="120">
        <f t="shared" si="1"/>
        <v>190</v>
      </c>
      <c r="U31" s="115">
        <f t="shared" si="0"/>
        <v>70.957520630071656</v>
      </c>
      <c r="V31" s="85"/>
      <c r="W31" s="85"/>
      <c r="X31" s="50"/>
      <c r="Y31" s="50"/>
      <c r="DE31" s="85"/>
      <c r="DF31" s="85"/>
    </row>
    <row r="32" spans="1:110" ht="15.75" thickBot="1">
      <c r="A32" s="124" t="e">
        <f>IF(ISBLANK('Input data'!$A32),NA(),'Input data'!$A32)</f>
        <v>#N/A</v>
      </c>
      <c r="B32" s="125" t="e">
        <f>IF(ISBLANK('Input data'!$A32),NA(),IF('Input data'!$I$3=1,'Input data'!$B32,IF('Input data'!$I$3=2,'Input data'!$C32,'Input data'!$D32)))</f>
        <v>#N/A</v>
      </c>
      <c r="C32" s="126" t="str">
        <f>IF(ISBLANK('Input data'!$B32),"",(LS+US)/2+(US-LS)/PI()*ATAN(PI()*($A32-DBTT_ARCTAN)/(2*C_ARCTAN)))</f>
        <v/>
      </c>
      <c r="D32" s="127" t="str">
        <f>IF(ISBLANK('Input data'!$B32),"",$B32-Fit_ARCTAN)</f>
        <v/>
      </c>
      <c r="T32" s="120">
        <f t="shared" si="1"/>
        <v>200</v>
      </c>
      <c r="U32" s="115">
        <f t="shared" si="0"/>
        <v>71.044323703048121</v>
      </c>
      <c r="V32" s="85"/>
      <c r="W32" s="85"/>
      <c r="X32" s="50"/>
      <c r="Y32" s="50"/>
      <c r="DE32" s="85"/>
      <c r="DF32" s="85"/>
    </row>
    <row r="33" spans="1:110">
      <c r="T33" s="120">
        <f>T32+10</f>
        <v>210</v>
      </c>
      <c r="U33" s="115">
        <f t="shared" si="0"/>
        <v>71.122437607706061</v>
      </c>
      <c r="V33" s="85"/>
      <c r="W33" s="85"/>
      <c r="X33" s="50"/>
      <c r="Y33" s="50"/>
      <c r="DE33" s="85"/>
      <c r="DF33" s="85"/>
    </row>
    <row r="34" spans="1:110">
      <c r="C34" s="94"/>
      <c r="T34" s="120">
        <f t="shared" si="1"/>
        <v>220</v>
      </c>
      <c r="U34" s="115">
        <f t="shared" ref="U34:U52" si="2">(LS+US)/2+(US-LS)/PI()*ATAN(PI()*(T34-$B$35)/(2*$B$36))</f>
        <v>71.19310322584667</v>
      </c>
      <c r="V34" s="85"/>
      <c r="W34" s="85"/>
      <c r="X34" s="50"/>
      <c r="Y34" s="50"/>
      <c r="DE34" s="85"/>
      <c r="DF34" s="85"/>
    </row>
    <row r="35" spans="1:110">
      <c r="A35" s="96" t="s">
        <v>22</v>
      </c>
      <c r="B35" s="97">
        <v>11.116573801468007</v>
      </c>
      <c r="C35" s="98" t="s">
        <v>9</v>
      </c>
      <c r="T35" s="120">
        <f t="shared" si="1"/>
        <v>230</v>
      </c>
      <c r="U35" s="115">
        <f t="shared" si="2"/>
        <v>71.257336170205434</v>
      </c>
      <c r="V35" s="85"/>
      <c r="W35" s="85"/>
      <c r="X35" s="50"/>
      <c r="Y35" s="50"/>
      <c r="DE35" s="85"/>
      <c r="DF35" s="85"/>
    </row>
    <row r="36" spans="1:110">
      <c r="A36" s="96" t="s">
        <v>14</v>
      </c>
      <c r="B36" s="97">
        <v>20.604250049917852</v>
      </c>
      <c r="C36" s="98" t="s">
        <v>9</v>
      </c>
      <c r="T36" s="120">
        <f t="shared" si="1"/>
        <v>240</v>
      </c>
      <c r="U36" s="115">
        <f t="shared" si="2"/>
        <v>71.315975630005838</v>
      </c>
      <c r="V36" s="85"/>
      <c r="W36" s="85"/>
      <c r="X36" s="50"/>
      <c r="Y36" s="50"/>
      <c r="DE36" s="85"/>
      <c r="DF36" s="85"/>
    </row>
    <row r="37" spans="1:110">
      <c r="A37" s="96"/>
      <c r="B37" s="97"/>
      <c r="C37" s="98"/>
      <c r="E37" s="147">
        <f>DBTT_ARCTAN</f>
        <v>11.116573801468007</v>
      </c>
      <c r="F37" s="148">
        <v>0</v>
      </c>
      <c r="T37" s="120">
        <f t="shared" si="1"/>
        <v>250</v>
      </c>
      <c r="U37" s="115">
        <f t="shared" si="2"/>
        <v>71.369721047716084</v>
      </c>
      <c r="V37" s="85"/>
      <c r="W37" s="85"/>
      <c r="X37" s="50"/>
      <c r="Y37" s="50"/>
      <c r="DE37" s="85"/>
      <c r="DF37" s="85"/>
    </row>
    <row r="38" spans="1:110" ht="15.75" thickBot="1">
      <c r="E38" s="147">
        <f>DBTT_ARCTAN</f>
        <v>11.116573801468007</v>
      </c>
      <c r="F38" s="148">
        <f>(LS+US)/2</f>
        <v>37.301249999999996</v>
      </c>
      <c r="T38" s="120">
        <f t="shared" si="1"/>
        <v>260</v>
      </c>
      <c r="U38" s="115">
        <f t="shared" si="2"/>
        <v>71.419160019628691</v>
      </c>
      <c r="V38" s="85"/>
      <c r="W38" s="85"/>
      <c r="X38" s="50"/>
      <c r="Y38" s="50"/>
      <c r="DE38" s="85"/>
      <c r="DF38" s="85"/>
    </row>
    <row r="39" spans="1:110" ht="15.75" thickBot="1">
      <c r="A39" s="102" t="s">
        <v>10</v>
      </c>
      <c r="B39" s="128">
        <f>SUMSQ(Residual_ARCTAN)</f>
        <v>166.81499211124856</v>
      </c>
      <c r="C39" s="103" t="s">
        <v>38</v>
      </c>
      <c r="F39" s="187" t="s">
        <v>60</v>
      </c>
      <c r="G39" s="188"/>
      <c r="H39" s="50"/>
      <c r="T39" s="120">
        <f t="shared" si="1"/>
        <v>270</v>
      </c>
      <c r="U39" s="115">
        <f t="shared" si="2"/>
        <v>71.464789774237659</v>
      </c>
      <c r="V39" s="85"/>
      <c r="W39" s="85"/>
      <c r="X39" s="50"/>
      <c r="Y39" s="50"/>
      <c r="DE39" s="85"/>
      <c r="DF39" s="85"/>
    </row>
    <row r="40" spans="1:110">
      <c r="A40" s="102" t="s">
        <v>17</v>
      </c>
      <c r="B40" s="114">
        <f>COUNT(Fit_ARCTAN)-2</f>
        <v>10</v>
      </c>
      <c r="C40" s="104" t="s">
        <v>37</v>
      </c>
      <c r="F40" s="134" t="str">
        <f>IF(Fit_index=1,"KV (J)",IF(Fit_index=2,"LE (mm)","SFA (%)"))</f>
        <v>KV (J)</v>
      </c>
      <c r="G40" s="135" t="s">
        <v>56</v>
      </c>
      <c r="H40" s="50"/>
      <c r="T40" s="120">
        <f t="shared" si="1"/>
        <v>280</v>
      </c>
      <c r="U40" s="115">
        <f t="shared" si="2"/>
        <v>71.507033887997778</v>
      </c>
      <c r="V40" s="85"/>
      <c r="W40" s="85"/>
      <c r="X40" s="50"/>
      <c r="Y40" s="50"/>
      <c r="DE40" s="85"/>
      <c r="DF40" s="85"/>
    </row>
    <row r="41" spans="1:110">
      <c r="A41" s="102" t="s">
        <v>39</v>
      </c>
      <c r="B41" s="129">
        <f>SQRT($B$39/$B$40)</f>
        <v>4.0842991089200185</v>
      </c>
      <c r="C41" s="85" t="str">
        <f>IF('Input data'!$I$3=1,"J (root mean square error)",IF('Input data'!$I$3=2,"mm (root mean square error)","% (root mean square error)"))</f>
        <v>J (root mean square error)</v>
      </c>
      <c r="F41" s="169">
        <v>28</v>
      </c>
      <c r="G41" s="130">
        <f>IF(ISBLANK($F41),"",IF(OR($F41&gt;US,$F41&lt;LS),"N/A",DBTT_ARCTAN+2*C_ARCTAN*$I41/PI()))</f>
        <v>5.3549233253797199</v>
      </c>
      <c r="H41" s="50"/>
      <c r="I41" s="100">
        <f>TAN(PI()*($F41-A)/(US-LS))</f>
        <v>-0.43924818336941285</v>
      </c>
      <c r="T41" s="120">
        <f t="shared" si="1"/>
        <v>290</v>
      </c>
      <c r="U41" s="115">
        <f t="shared" si="2"/>
        <v>71.546255425734898</v>
      </c>
      <c r="V41" s="85"/>
      <c r="W41" s="85"/>
      <c r="X41" s="50"/>
      <c r="Y41" s="50"/>
      <c r="DE41" s="85"/>
      <c r="DF41" s="85"/>
    </row>
    <row r="42" spans="1:110" ht="15.75" thickBot="1">
      <c r="F42" s="170">
        <v>41</v>
      </c>
      <c r="G42" s="131">
        <f>IF(ISBLANK($F42),"",IF(OR($F42&gt;US,$F42&lt;LS),"N/A",DBTT_ARCTAN+2*C_ARCTAN*$I42/PI()))</f>
        <v>13.295126168418781</v>
      </c>
      <c r="H42" s="50"/>
      <c r="I42" s="100">
        <f>TAN(PI()*($F42-A)/(US-LS))</f>
        <v>0.16608525170515709</v>
      </c>
      <c r="T42" s="120">
        <f t="shared" si="1"/>
        <v>300</v>
      </c>
      <c r="U42" s="115">
        <f t="shared" si="2"/>
        <v>71.582767366583539</v>
      </c>
      <c r="V42" s="85"/>
      <c r="W42" s="85"/>
      <c r="X42" s="50"/>
      <c r="Y42" s="50"/>
      <c r="DE42" s="85"/>
      <c r="DF42" s="85"/>
    </row>
    <row r="43" spans="1:110">
      <c r="T43" s="120">
        <f t="shared" si="1"/>
        <v>310</v>
      </c>
      <c r="U43" s="115">
        <f t="shared" si="2"/>
        <v>71.616840947462123</v>
      </c>
      <c r="V43" s="85"/>
      <c r="W43" s="85"/>
      <c r="X43" s="50"/>
      <c r="Y43" s="50"/>
      <c r="DE43" s="85"/>
      <c r="DF43" s="85"/>
    </row>
    <row r="44" spans="1:110" ht="15.75" thickBot="1">
      <c r="F44" s="137"/>
      <c r="T44" s="120">
        <f t="shared" si="1"/>
        <v>320</v>
      </c>
      <c r="U44" s="115">
        <f t="shared" si="2"/>
        <v>71.648712393437577</v>
      </c>
      <c r="V44" s="85"/>
      <c r="W44" s="85"/>
      <c r="X44" s="50"/>
      <c r="Y44" s="50"/>
      <c r="DE44" s="85"/>
      <c r="DF44" s="85"/>
    </row>
    <row r="45" spans="1:110" ht="15.75" thickBot="1">
      <c r="B45" s="111" t="s">
        <v>44</v>
      </c>
      <c r="C45" s="172">
        <f>2*(COUNT(B35:B37)+1)+COUNT(Temperatures)*LN(SSR_Burr/COUNT(Temperatures))</f>
        <v>22.853130156695293</v>
      </c>
      <c r="D45" s="189" t="s">
        <v>45</v>
      </c>
      <c r="E45" s="189"/>
      <c r="F45" s="189"/>
      <c r="G45" s="189"/>
      <c r="T45" s="120">
        <f t="shared" si="1"/>
        <v>330</v>
      </c>
      <c r="U45" s="115">
        <f t="shared" si="2"/>
        <v>71.678588387273777</v>
      </c>
      <c r="V45" s="85"/>
      <c r="W45" s="85"/>
      <c r="X45" s="50"/>
      <c r="Y45" s="50"/>
      <c r="DE45" s="85"/>
      <c r="DF45" s="85"/>
    </row>
    <row r="46" spans="1:110" ht="15.75" thickBot="1">
      <c r="B46" s="111" t="s">
        <v>46</v>
      </c>
      <c r="C46" s="172">
        <f>(COUNT(B35:B37)+1)*LN(COUNT(Temperatures))+COUNT(Temperatures)*LN(SSR_Burr/COUNT(Temperatures))</f>
        <v>24.307850106059295</v>
      </c>
      <c r="D46" s="189" t="s">
        <v>47</v>
      </c>
      <c r="E46" s="189"/>
      <c r="F46" s="189"/>
      <c r="G46" s="189"/>
      <c r="T46" s="120">
        <f t="shared" si="1"/>
        <v>340</v>
      </c>
      <c r="U46" s="115">
        <f t="shared" si="2"/>
        <v>71.706650545234282</v>
      </c>
      <c r="V46" s="85"/>
      <c r="W46" s="85"/>
      <c r="X46" s="50"/>
      <c r="Y46" s="50"/>
      <c r="DE46" s="85"/>
      <c r="DF46" s="85"/>
    </row>
    <row r="47" spans="1:110">
      <c r="T47" s="120">
        <f t="shared" si="1"/>
        <v>350</v>
      </c>
      <c r="U47" s="115">
        <f t="shared" si="2"/>
        <v>71.733059103487335</v>
      </c>
      <c r="V47" s="85"/>
      <c r="W47" s="85"/>
      <c r="X47" s="50"/>
      <c r="Y47" s="50"/>
      <c r="DE47" s="85"/>
      <c r="DF47" s="85"/>
    </row>
    <row r="48" spans="1:110">
      <c r="T48" s="120">
        <f t="shared" si="1"/>
        <v>360</v>
      </c>
      <c r="U48" s="115">
        <f t="shared" si="2"/>
        <v>71.757955972830018</v>
      </c>
      <c r="V48" s="85"/>
      <c r="W48" s="85"/>
      <c r="X48" s="50"/>
      <c r="Y48" s="50"/>
      <c r="DE48" s="85"/>
      <c r="DF48" s="85"/>
    </row>
    <row r="49" spans="2:110">
      <c r="B49" s="50"/>
      <c r="C49" s="50"/>
      <c r="D49" s="50"/>
      <c r="E49" s="50"/>
      <c r="F49" s="50"/>
      <c r="G49" s="50"/>
      <c r="T49" s="120">
        <f t="shared" si="1"/>
        <v>370</v>
      </c>
      <c r="U49" s="115">
        <f t="shared" si="2"/>
        <v>71.781467284451367</v>
      </c>
      <c r="V49" s="85"/>
      <c r="W49" s="85"/>
      <c r="X49" s="50"/>
      <c r="Y49" s="50"/>
      <c r="DE49" s="85"/>
      <c r="DF49" s="85"/>
    </row>
    <row r="50" spans="2:110">
      <c r="B50" s="50"/>
      <c r="C50" s="50"/>
      <c r="D50" s="50"/>
      <c r="E50" s="50"/>
      <c r="F50" s="50"/>
      <c r="G50" s="50"/>
      <c r="T50" s="120">
        <f t="shared" si="1"/>
        <v>380</v>
      </c>
      <c r="U50" s="115">
        <f t="shared" si="2"/>
        <v>71.803705522953834</v>
      </c>
      <c r="V50" s="85"/>
      <c r="W50" s="85"/>
      <c r="X50" s="50"/>
      <c r="Y50" s="50"/>
      <c r="DE50" s="85"/>
      <c r="DF50" s="85"/>
    </row>
    <row r="51" spans="2:110">
      <c r="B51" s="50"/>
      <c r="C51" s="50"/>
      <c r="D51" s="50"/>
      <c r="E51" s="50"/>
      <c r="F51" s="50"/>
      <c r="G51" s="50"/>
      <c r="T51" s="120">
        <f t="shared" si="1"/>
        <v>390</v>
      </c>
      <c r="U51" s="115">
        <f t="shared" si="2"/>
        <v>71.824771322618616</v>
      </c>
      <c r="V51" s="85"/>
      <c r="W51" s="85"/>
      <c r="X51" s="50"/>
      <c r="Y51" s="50"/>
      <c r="DE51" s="85"/>
      <c r="DF51" s="85"/>
    </row>
    <row r="52" spans="2:110">
      <c r="B52" s="50"/>
      <c r="C52" s="50"/>
      <c r="D52" s="50"/>
      <c r="E52" s="50"/>
      <c r="F52" s="50"/>
      <c r="G52" s="50"/>
      <c r="T52" s="120">
        <f t="shared" si="1"/>
        <v>400</v>
      </c>
      <c r="U52" s="115">
        <f t="shared" si="2"/>
        <v>71.844754987328812</v>
      </c>
      <c r="V52" s="85"/>
      <c r="W52" s="85"/>
      <c r="X52" s="50"/>
      <c r="Y52" s="50"/>
      <c r="DE52" s="85"/>
      <c r="DF52" s="85"/>
    </row>
    <row r="57" spans="2:110">
      <c r="U57" s="113">
        <f>NORMSINV(0.05)</f>
        <v>-1.6448536269514726</v>
      </c>
      <c r="V57" s="113" t="e">
        <f>PERCENTILE($AS$3:$AS$32,0.05)</f>
        <v>#NUM!</v>
      </c>
    </row>
    <row r="58" spans="2:110">
      <c r="U58" s="113">
        <f>NORMSINV(0.95)</f>
        <v>1.6448536269514715</v>
      </c>
      <c r="V58" s="113" t="e">
        <f>PERCENTILE(AS3:AS32,0.95)</f>
        <v>#NUM!</v>
      </c>
    </row>
  </sheetData>
  <sheetProtection sheet="1" scenarios="1"/>
  <mergeCells count="3">
    <mergeCell ref="D45:G45"/>
    <mergeCell ref="D46:G46"/>
    <mergeCell ref="F39:G39"/>
  </mergeCells>
  <conditionalFormatting sqref="A3:B32">
    <cfRule type="expression" dxfId="10" priority="7">
      <formula>ISNA($A3)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Fit_KS">
                <anchor moveWithCells="1" sizeWithCells="1">
                  <from>
                    <xdr:col>2</xdr:col>
                    <xdr:colOff>600075</xdr:colOff>
                    <xdr:row>33</xdr:row>
                    <xdr:rowOff>142875</xdr:rowOff>
                  </from>
                  <to>
                    <xdr:col>4</xdr:col>
                    <xdr:colOff>95250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4" name="Button 2">
              <controlPr defaultSize="0" print="0" autoFill="0" autoPict="0" macro="[0]!Scale_auto">
                <anchor moveWithCells="1" sizeWithCells="1">
                  <from>
                    <xdr:col>4</xdr:col>
                    <xdr:colOff>476250</xdr:colOff>
                    <xdr:row>0</xdr:row>
                    <xdr:rowOff>0</xdr:rowOff>
                  </from>
                  <to>
                    <xdr:col>5</xdr:col>
                    <xdr:colOff>647700</xdr:colOff>
                    <xdr:row>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5" name="Button 3">
              <controlPr defaultSize="0" print="0" autoFill="0" autoPict="0" macro="[0]!Scale_SFA">
                <anchor moveWithCells="1" sizeWithCells="1">
                  <from>
                    <xdr:col>4</xdr:col>
                    <xdr:colOff>476250</xdr:colOff>
                    <xdr:row>2</xdr:row>
                    <xdr:rowOff>76200</xdr:rowOff>
                  </from>
                  <to>
                    <xdr:col>5</xdr:col>
                    <xdr:colOff>638175</xdr:colOff>
                    <xdr:row>4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C86EC2-9C4E-42E0-87CE-6358BD2F2192}">
  <sheetPr codeName="Sheet8"/>
  <dimension ref="A1:AA59"/>
  <sheetViews>
    <sheetView topLeftCell="A19" workbookViewId="0">
      <selection activeCell="G41" sqref="G41:G42"/>
    </sheetView>
  </sheetViews>
  <sheetFormatPr defaultRowHeight="15"/>
  <cols>
    <col min="1" max="1" width="9.140625" style="85"/>
    <col min="2" max="2" width="9.140625" style="85" customWidth="1"/>
    <col min="3" max="4" width="9.140625" style="85"/>
    <col min="5" max="5" width="9.140625" style="85" customWidth="1"/>
    <col min="6" max="6" width="9.140625" style="85"/>
    <col min="7" max="7" width="10.28515625" style="85" bestFit="1" customWidth="1"/>
    <col min="8" max="8" width="10" style="85" bestFit="1" customWidth="1"/>
    <col min="9" max="23" width="9.140625" style="85"/>
    <col min="24" max="25" width="8.85546875" style="138"/>
    <col min="26" max="26" width="12.7109375" style="151" bestFit="1" customWidth="1"/>
    <col min="27" max="27" width="8.85546875" style="138"/>
    <col min="28" max="30" width="9.140625" style="85"/>
    <col min="31" max="31" width="9.42578125" style="85" bestFit="1" customWidth="1"/>
    <col min="32" max="32" width="9.140625" style="85"/>
    <col min="33" max="33" width="9.42578125" style="85" bestFit="1" customWidth="1"/>
    <col min="34" max="44" width="9.140625" style="85"/>
    <col min="45" max="45" width="12.7109375" style="85" bestFit="1" customWidth="1"/>
    <col min="46" max="58" width="9.140625" style="85"/>
    <col min="59" max="59" width="9.140625" style="85" customWidth="1"/>
    <col min="60" max="86" width="9.140625" style="85"/>
    <col min="87" max="87" width="11" style="85" bestFit="1" customWidth="1"/>
    <col min="88" max="90" width="9.140625" style="85"/>
    <col min="91" max="91" width="9.140625" style="85" customWidth="1"/>
    <col min="92" max="16384" width="9.140625" style="85"/>
  </cols>
  <sheetData>
    <row r="1" spans="1:25" s="85" customFormat="1" ht="18.75" thickBot="1">
      <c r="A1" s="80" t="s">
        <v>0</v>
      </c>
      <c r="B1" s="81" t="str">
        <f>IF('Input data'!$I$3=1,"KV",IF('Input data'!$I$3=2,"LE","SFA"))</f>
        <v>KV</v>
      </c>
      <c r="C1" s="149" t="s">
        <v>40</v>
      </c>
      <c r="D1" s="82" t="s">
        <v>41</v>
      </c>
      <c r="E1" s="150" t="s">
        <v>8</v>
      </c>
      <c r="F1" s="83" t="s">
        <v>11</v>
      </c>
      <c r="V1" s="138" t="s">
        <v>12</v>
      </c>
      <c r="W1" s="138" t="s">
        <v>23</v>
      </c>
      <c r="X1" s="151" t="s">
        <v>24</v>
      </c>
      <c r="Y1" s="138" t="s">
        <v>13</v>
      </c>
    </row>
    <row r="2" spans="1:25" s="85" customFormat="1" ht="16.5" thickTop="1" thickBot="1">
      <c r="A2" s="87" t="s">
        <v>4</v>
      </c>
      <c r="B2" s="88" t="str">
        <f>IF('Input data'!$I$3=1,"(J)",IF('Input data'!$I$3=2,"(mm)","(%)"))</f>
        <v>(J)</v>
      </c>
      <c r="C2" s="89" t="str">
        <f>IF('Input data'!$I$3=1,"(J)",IF('Input data'!$I$3=2,"(mm)","(%)"))</f>
        <v>(J)</v>
      </c>
      <c r="D2" s="88" t="str">
        <f>IF('Input data'!$I$3=1,"(J)",IF('Input data'!$I$3=2,"(mm)","(%)"))</f>
        <v>(J)</v>
      </c>
      <c r="E2" s="152" t="str">
        <f>IF('Input data'!$I$3=1,"(J)",IF('Input data'!$I$3=2,"(mm)","(%)"))</f>
        <v>(J)</v>
      </c>
      <c r="F2" s="90" t="str">
        <f>IF('Input data'!$I$3=1,"(J)",IF('Input data'!$I$3=2,"(mm)","(%)"))</f>
        <v>(J)</v>
      </c>
      <c r="V2" s="92">
        <v>-100</v>
      </c>
      <c r="W2" s="115">
        <f t="shared" ref="W2:W33" si="0">LS+(US-LS)/(1+$B$37)*EXP((1+$B$37)/(2*$B$36)*($V2-$B$35))</f>
        <v>2.216673170946919</v>
      </c>
      <c r="X2" s="120">
        <f t="shared" ref="X2:X33" si="1">US-$B$37*(US-LS)/(1+$B$37)*EXP(-(1+$B$37)/(2*$B$36*$B$37)*($V2-$B$35))</f>
        <v>-5504.3602215221663</v>
      </c>
      <c r="Y2" s="115">
        <f t="shared" ref="Y2:Y33" si="2">IF($V2&lt;$B$35,$W2,$X2)</f>
        <v>2.216673170946919</v>
      </c>
    </row>
    <row r="3" spans="1:25" s="85" customFormat="1">
      <c r="A3" s="116">
        <f>IF(ISBLANK('Input data'!$A3),NA(),'Input data'!$A3)</f>
        <v>-80</v>
      </c>
      <c r="B3" s="117">
        <f>IF(ISBLANK('Input data'!$A3),NA(),IF('Input data'!$I$3=1,'Input data'!$B3,IF('Input data'!$I$3=2,'Input data'!$C3,'Input data'!$D3)))</f>
        <v>2.4</v>
      </c>
      <c r="C3" s="159">
        <f t="shared" ref="C3:C32" si="3">IF(ISBLANK(KV_data),"",LS+(US-LS)/(1+p_KASYM)*EXP((1+p_KASYM)/(2*C_KASYM)*($A3-T0_KASYM)))</f>
        <v>2.5415601515928792</v>
      </c>
      <c r="D3" s="159">
        <f t="shared" ref="D3:D32" si="4">IF(ISBLANK(KV_data),"",US-p_KASYM*(US-LS)/(1+p_KASYM)*EXP(-(1+p_KASYM)/(2*C_KASYM*p_KASYM)*($A3-T0_KASYM)))</f>
        <v>-2171.0877389367511</v>
      </c>
      <c r="E3" s="118">
        <f>IF(ISBLANK(KV_data),"",IF($A3&lt;T0_KASYM,Fit1_KASYM,Fit2_KASYM))</f>
        <v>2.5415601515928792</v>
      </c>
      <c r="F3" s="119">
        <f t="shared" ref="F3:F32" si="5">IF(ISBLANK(KV_data),"",$B3-Fit_KASYM)</f>
        <v>-0.14156015159287927</v>
      </c>
      <c r="V3" s="120">
        <f>V2+10</f>
        <v>-90</v>
      </c>
      <c r="W3" s="115">
        <f t="shared" si="0"/>
        <v>2.3425515367125405</v>
      </c>
      <c r="X3" s="120">
        <f t="shared" si="1"/>
        <v>-3464.7661295314801</v>
      </c>
      <c r="Y3" s="115">
        <f t="shared" si="2"/>
        <v>2.3425515367125405</v>
      </c>
    </row>
    <row r="4" spans="1:25" s="85" customFormat="1">
      <c r="A4" s="121">
        <f>IF(ISBLANK('Input data'!$A4),NA(),'Input data'!$A4)</f>
        <v>-50</v>
      </c>
      <c r="B4" s="122">
        <f>IF(ISBLANK('Input data'!$A4),NA(),IF('Input data'!$I$3=1,'Input data'!$B4,IF('Input data'!$I$3=2,'Input data'!$C4,'Input data'!$D4)))</f>
        <v>4.13</v>
      </c>
      <c r="C4" s="160">
        <f t="shared" si="3"/>
        <v>4.139976696724271</v>
      </c>
      <c r="D4" s="161">
        <f t="shared" si="4"/>
        <v>-499.94382861415238</v>
      </c>
      <c r="E4" s="162">
        <f t="shared" ref="E4:E32" si="6">IF(ISBLANK(KV_data),"",IF($A4&lt;T0_KASYM,Fit1_KASYM,Fit2_KASYM))</f>
        <v>4.139976696724271</v>
      </c>
      <c r="F4" s="123">
        <f t="shared" si="5"/>
        <v>-9.9766967242711502E-3</v>
      </c>
      <c r="V4" s="120">
        <f t="shared" ref="V4:V52" si="7">V3+10</f>
        <v>-80</v>
      </c>
      <c r="W4" s="115">
        <f t="shared" si="0"/>
        <v>2.5415601515928792</v>
      </c>
      <c r="X4" s="120">
        <f t="shared" si="1"/>
        <v>-2171.0877389367511</v>
      </c>
      <c r="Y4" s="115">
        <f t="shared" si="2"/>
        <v>2.5415601515928792</v>
      </c>
    </row>
    <row r="5" spans="1:25" s="85" customFormat="1">
      <c r="A5" s="121">
        <f>IF(ISBLANK('Input data'!$A5),NA(),'Input data'!$A5)</f>
        <v>-35</v>
      </c>
      <c r="B5" s="122">
        <f>IF(ISBLANK('Input data'!$A5),NA(),IF('Input data'!$I$3=1,'Input data'!$B5,IF('Input data'!$I$3=2,'Input data'!$C5,'Input data'!$D5)))</f>
        <v>4.13</v>
      </c>
      <c r="C5" s="120">
        <f t="shared" si="3"/>
        <v>6.2539287900401401</v>
      </c>
      <c r="D5" s="161">
        <f t="shared" si="4"/>
        <v>-216.62161573043224</v>
      </c>
      <c r="E5" s="162">
        <f t="shared" si="6"/>
        <v>6.2539287900401401</v>
      </c>
      <c r="F5" s="123">
        <f t="shared" si="5"/>
        <v>-2.1239287900401402</v>
      </c>
      <c r="V5" s="120">
        <f t="shared" si="7"/>
        <v>-70</v>
      </c>
      <c r="W5" s="115">
        <f t="shared" si="0"/>
        <v>2.8561847382381478</v>
      </c>
      <c r="X5" s="120">
        <f t="shared" si="1"/>
        <v>-1350.5304599841061</v>
      </c>
      <c r="Y5" s="115">
        <f t="shared" si="2"/>
        <v>2.8561847382381478</v>
      </c>
    </row>
    <row r="6" spans="1:25" s="85" customFormat="1">
      <c r="A6" s="121">
        <f>IF(ISBLANK('Input data'!$A6),NA(),'Input data'!$A6)</f>
        <v>-15</v>
      </c>
      <c r="B6" s="122">
        <f>IF(ISBLANK('Input data'!$A6),NA(),IF('Input data'!$I$3=1,'Input data'!$B6,IF('Input data'!$I$3=2,'Input data'!$C6,'Input data'!$D6)))</f>
        <v>10.210000000000001</v>
      </c>
      <c r="C6" s="120">
        <f t="shared" si="3"/>
        <v>12.632411527146713</v>
      </c>
      <c r="D6" s="161">
        <f t="shared" si="4"/>
        <v>-43.75641393449493</v>
      </c>
      <c r="E6" s="162">
        <f t="shared" si="6"/>
        <v>12.632411527146713</v>
      </c>
      <c r="F6" s="123">
        <f t="shared" si="5"/>
        <v>-2.4224115271467124</v>
      </c>
      <c r="V6" s="120">
        <f t="shared" si="7"/>
        <v>-60</v>
      </c>
      <c r="W6" s="115">
        <f t="shared" si="0"/>
        <v>3.3535935091158668</v>
      </c>
      <c r="X6" s="120">
        <f t="shared" si="1"/>
        <v>-830.06551835929224</v>
      </c>
      <c r="Y6" s="115">
        <f t="shared" si="2"/>
        <v>3.3535935091158668</v>
      </c>
    </row>
    <row r="7" spans="1:25" s="85" customFormat="1">
      <c r="A7" s="121">
        <f>IF(ISBLANK('Input data'!$A7),NA(),'Input data'!$A7)</f>
        <v>0</v>
      </c>
      <c r="B7" s="122">
        <f>IF(ISBLANK('Input data'!$A7),NA(),IF('Input data'!$I$3=1,'Input data'!$B7,IF('Input data'!$I$3=2,'Input data'!$C7,'Input data'!$D7)))</f>
        <v>27.99</v>
      </c>
      <c r="C7" s="120">
        <f t="shared" si="3"/>
        <v>23.135520574648446</v>
      </c>
      <c r="D7" s="161">
        <f t="shared" si="4"/>
        <v>13.823319507275947</v>
      </c>
      <c r="E7" s="162">
        <f t="shared" si="6"/>
        <v>23.135520574648446</v>
      </c>
      <c r="F7" s="123">
        <f t="shared" si="5"/>
        <v>4.8544794253515526</v>
      </c>
      <c r="V7" s="120">
        <f t="shared" si="7"/>
        <v>-50</v>
      </c>
      <c r="W7" s="115">
        <f t="shared" si="0"/>
        <v>4.139976696724271</v>
      </c>
      <c r="X7" s="120">
        <f t="shared" si="1"/>
        <v>-499.94382861415238</v>
      </c>
      <c r="Y7" s="115">
        <f t="shared" si="2"/>
        <v>4.139976696724271</v>
      </c>
    </row>
    <row r="8" spans="1:25" s="85" customFormat="1">
      <c r="A8" s="121">
        <f>IF(ISBLANK('Input data'!$A8),NA(),'Input data'!$A8)</f>
        <v>10</v>
      </c>
      <c r="B8" s="122">
        <f>IF(ISBLANK('Input data'!$A8),NA(),IF('Input data'!$I$3=1,'Input data'!$B8,IF('Input data'!$I$3=2,'Input data'!$C8,'Input data'!$D8)))</f>
        <v>34.25</v>
      </c>
      <c r="C8" s="120">
        <f t="shared" si="3"/>
        <v>35.414404840362181</v>
      </c>
      <c r="D8" s="161">
        <f t="shared" si="4"/>
        <v>35.319907390562484</v>
      </c>
      <c r="E8" s="162">
        <f t="shared" si="6"/>
        <v>35.414404840362181</v>
      </c>
      <c r="F8" s="123">
        <f t="shared" si="5"/>
        <v>-1.1644048403621809</v>
      </c>
      <c r="V8" s="120">
        <f t="shared" si="7"/>
        <v>-40</v>
      </c>
      <c r="W8" s="115">
        <f t="shared" si="0"/>
        <v>5.3832167720087085</v>
      </c>
      <c r="X8" s="120">
        <f t="shared" si="1"/>
        <v>-290.55349062142227</v>
      </c>
      <c r="Y8" s="115">
        <f t="shared" si="2"/>
        <v>5.3832167720087085</v>
      </c>
    </row>
    <row r="9" spans="1:25" s="85" customFormat="1">
      <c r="A9" s="121">
        <f>IF(ISBLANK('Input data'!$A9),NA(),'Input data'!$A9)</f>
        <v>21</v>
      </c>
      <c r="B9" s="122">
        <f>IF(ISBLANK('Input data'!$A9),NA(),IF('Input data'!$I$3=1,'Input data'!$B9,IF('Input data'!$I$3=2,'Input data'!$C9,'Input data'!$D9)))</f>
        <v>48.86</v>
      </c>
      <c r="C9" s="120">
        <f t="shared" si="3"/>
        <v>57.302732365026394</v>
      </c>
      <c r="D9" s="161">
        <f t="shared" si="4"/>
        <v>50.007260881707609</v>
      </c>
      <c r="E9" s="162">
        <f t="shared" si="6"/>
        <v>50.007260881707609</v>
      </c>
      <c r="F9" s="123">
        <f t="shared" si="5"/>
        <v>-1.1472608817076093</v>
      </c>
      <c r="V9" s="120">
        <f t="shared" si="7"/>
        <v>-30</v>
      </c>
      <c r="W9" s="115">
        <f t="shared" si="0"/>
        <v>7.3487291445378871</v>
      </c>
      <c r="X9" s="120">
        <f t="shared" si="1"/>
        <v>-157.74090966511363</v>
      </c>
      <c r="Y9" s="115">
        <f t="shared" si="2"/>
        <v>7.3487291445378871</v>
      </c>
    </row>
    <row r="10" spans="1:25" s="85" customFormat="1">
      <c r="A10" s="121">
        <f>IF(ISBLANK('Input data'!$A10),NA(),'Input data'!$A10)</f>
        <v>40</v>
      </c>
      <c r="B10" s="122">
        <f>IF(ISBLANK('Input data'!$A10),NA(),IF('Input data'!$I$3=1,'Input data'!$B10,IF('Input data'!$I$3=2,'Input data'!$C10,'Input data'!$D10)))</f>
        <v>61.88</v>
      </c>
      <c r="C10" s="120">
        <f t="shared" si="3"/>
        <v>134.03712917755598</v>
      </c>
      <c r="D10" s="161">
        <f t="shared" si="4"/>
        <v>63.088703866596965</v>
      </c>
      <c r="E10" s="162">
        <f t="shared" si="6"/>
        <v>63.088703866596965</v>
      </c>
      <c r="F10" s="123">
        <f t="shared" si="5"/>
        <v>-1.2087038665969629</v>
      </c>
      <c r="V10" s="120">
        <f t="shared" si="7"/>
        <v>-20</v>
      </c>
      <c r="W10" s="115">
        <f t="shared" si="0"/>
        <v>10.456124862683009</v>
      </c>
      <c r="X10" s="120">
        <f t="shared" si="1"/>
        <v>-73.500243026099895</v>
      </c>
      <c r="Y10" s="115">
        <f t="shared" si="2"/>
        <v>10.456124862683009</v>
      </c>
    </row>
    <row r="11" spans="1:25" s="85" customFormat="1">
      <c r="A11" s="121">
        <f>IF(ISBLANK('Input data'!$A11),NA(),'Input data'!$A11)</f>
        <v>76</v>
      </c>
      <c r="B11" s="122">
        <f>IF(ISBLANK('Input data'!$A11),NA(),IF('Input data'!$I$3=1,'Input data'!$B11,IF('Input data'!$I$3=2,'Input data'!$C11,'Input data'!$D11)))</f>
        <v>74.290000000000006</v>
      </c>
      <c r="C11" s="120">
        <f t="shared" si="3"/>
        <v>688.76931837234383</v>
      </c>
      <c r="D11" s="161">
        <f t="shared" si="4"/>
        <v>70.755056677540452</v>
      </c>
      <c r="E11" s="162">
        <f t="shared" si="6"/>
        <v>70.755056677540452</v>
      </c>
      <c r="F11" s="123">
        <f t="shared" si="5"/>
        <v>3.5349433224595543</v>
      </c>
      <c r="V11" s="120">
        <f t="shared" si="7"/>
        <v>-10</v>
      </c>
      <c r="W11" s="115">
        <f t="shared" si="0"/>
        <v>15.368792055269356</v>
      </c>
      <c r="X11" s="120">
        <f t="shared" si="1"/>
        <v>-20.06788093594524</v>
      </c>
      <c r="Y11" s="115">
        <f t="shared" si="2"/>
        <v>15.368792055269356</v>
      </c>
    </row>
    <row r="12" spans="1:25" s="85" customFormat="1">
      <c r="A12" s="121">
        <f>IF(ISBLANK('Input data'!$A12),NA(),'Input data'!$A12)</f>
        <v>100</v>
      </c>
      <c r="B12" s="122">
        <f>IF(ISBLANK('Input data'!$A12),NA(),IF('Input data'!$I$3=1,'Input data'!$B12,IF('Input data'!$I$3=2,'Input data'!$C12,'Input data'!$D12)))</f>
        <v>75.22</v>
      </c>
      <c r="C12" s="120">
        <f t="shared" si="3"/>
        <v>2063.6776318412963</v>
      </c>
      <c r="D12" s="161">
        <f t="shared" si="4"/>
        <v>71.98298858636565</v>
      </c>
      <c r="E12" s="162">
        <f t="shared" si="6"/>
        <v>71.98298858636565</v>
      </c>
      <c r="F12" s="123">
        <f t="shared" si="5"/>
        <v>3.2370114136343489</v>
      </c>
      <c r="V12" s="120">
        <f t="shared" si="7"/>
        <v>0</v>
      </c>
      <c r="W12" s="115">
        <f t="shared" si="0"/>
        <v>23.135520574648446</v>
      </c>
      <c r="X12" s="120">
        <f t="shared" si="1"/>
        <v>13.823319507275947</v>
      </c>
      <c r="Y12" s="115">
        <f t="shared" si="2"/>
        <v>23.135520574648446</v>
      </c>
    </row>
    <row r="13" spans="1:25" s="85" customFormat="1">
      <c r="A13" s="121">
        <f>IF(ISBLANK('Input data'!$A13),NA(),'Input data'!$A13)</f>
        <v>148</v>
      </c>
      <c r="B13" s="122">
        <f>IF(ISBLANK('Input data'!$A13),NA(),IF('Input data'!$I$3=1,'Input data'!$B13,IF('Input data'!$I$3=2,'Input data'!$C13,'Input data'!$D13)))</f>
        <v>71.5</v>
      </c>
      <c r="C13" s="120">
        <f t="shared" si="3"/>
        <v>18581.777457918422</v>
      </c>
      <c r="D13" s="161">
        <f t="shared" si="4"/>
        <v>72.532836436045812</v>
      </c>
      <c r="E13" s="162">
        <f t="shared" si="6"/>
        <v>72.532836436045812</v>
      </c>
      <c r="F13" s="123">
        <f t="shared" si="5"/>
        <v>-1.0328364360458124</v>
      </c>
      <c r="V13" s="120">
        <f t="shared" si="7"/>
        <v>10</v>
      </c>
      <c r="W13" s="115">
        <f t="shared" si="0"/>
        <v>35.414404840362181</v>
      </c>
      <c r="X13" s="120">
        <f t="shared" si="1"/>
        <v>35.319907390562484</v>
      </c>
      <c r="Y13" s="115">
        <f t="shared" si="2"/>
        <v>35.414404840362181</v>
      </c>
    </row>
    <row r="14" spans="1:25" s="85" customFormat="1">
      <c r="A14" s="121">
        <f>IF(ISBLANK('Input data'!$A14),NA(),'Input data'!$A14)</f>
        <v>198</v>
      </c>
      <c r="B14" s="122">
        <f>IF(ISBLANK('Input data'!$A14),NA(),IF('Input data'!$I$3=1,'Input data'!$B14,IF('Input data'!$I$3=2,'Input data'!$C14,'Input data'!$D14)))</f>
        <v>69.400000000000006</v>
      </c>
      <c r="C14" s="120">
        <f t="shared" si="3"/>
        <v>183505.52568573851</v>
      </c>
      <c r="D14" s="161">
        <f t="shared" si="4"/>
        <v>72.595348146962451</v>
      </c>
      <c r="E14" s="162">
        <f t="shared" si="6"/>
        <v>72.595348146962451</v>
      </c>
      <c r="F14" s="123">
        <f t="shared" si="5"/>
        <v>-3.195348146962445</v>
      </c>
      <c r="V14" s="120">
        <f t="shared" si="7"/>
        <v>20</v>
      </c>
      <c r="W14" s="115">
        <f t="shared" si="0"/>
        <v>54.826825196577445</v>
      </c>
      <c r="X14" s="120">
        <f t="shared" si="1"/>
        <v>48.954812161729706</v>
      </c>
      <c r="Y14" s="115">
        <f t="shared" si="2"/>
        <v>48.954812161729706</v>
      </c>
    </row>
    <row r="15" spans="1:25" s="85" customFormat="1">
      <c r="A15" s="121" t="e">
        <f>IF(ISBLANK('Input data'!$A15),NA(),'Input data'!$A15)</f>
        <v>#N/A</v>
      </c>
      <c r="B15" s="122" t="e">
        <f>IF(ISBLANK('Input data'!$A15),NA(),IF('Input data'!$I$3=1,'Input data'!$B15,IF('Input data'!$I$3=2,'Input data'!$C15,'Input data'!$D15)))</f>
        <v>#N/A</v>
      </c>
      <c r="C15" s="115" t="str">
        <f t="shared" si="3"/>
        <v/>
      </c>
      <c r="D15" s="122" t="str">
        <f t="shared" si="4"/>
        <v/>
      </c>
      <c r="E15" s="162" t="str">
        <f t="shared" si="6"/>
        <v/>
      </c>
      <c r="F15" s="123" t="str">
        <f t="shared" si="5"/>
        <v/>
      </c>
      <c r="V15" s="120">
        <f t="shared" si="7"/>
        <v>30</v>
      </c>
      <c r="W15" s="115">
        <f t="shared" si="0"/>
        <v>85.51707814884729</v>
      </c>
      <c r="X15" s="120">
        <f t="shared" si="1"/>
        <v>57.603190645244432</v>
      </c>
      <c r="Y15" s="115">
        <f t="shared" si="2"/>
        <v>57.603190645244432</v>
      </c>
    </row>
    <row r="16" spans="1:25" s="85" customFormat="1">
      <c r="A16" s="121" t="e">
        <f>IF(ISBLANK('Input data'!$A16),NA(),'Input data'!$A16)</f>
        <v>#N/A</v>
      </c>
      <c r="B16" s="122" t="e">
        <f>IF(ISBLANK('Input data'!$A16),NA(),IF('Input data'!$I$3=1,'Input data'!$B16,IF('Input data'!$I$3=2,'Input data'!$C16,'Input data'!$D16)))</f>
        <v>#N/A</v>
      </c>
      <c r="C16" s="115" t="str">
        <f t="shared" si="3"/>
        <v/>
      </c>
      <c r="D16" s="122" t="str">
        <f t="shared" si="4"/>
        <v/>
      </c>
      <c r="E16" s="162" t="str">
        <f t="shared" si="6"/>
        <v/>
      </c>
      <c r="F16" s="123" t="str">
        <f t="shared" si="5"/>
        <v/>
      </c>
      <c r="V16" s="120">
        <f t="shared" si="7"/>
        <v>40</v>
      </c>
      <c r="W16" s="115">
        <f t="shared" si="0"/>
        <v>134.03712917755598</v>
      </c>
      <c r="X16" s="120">
        <f t="shared" si="1"/>
        <v>63.088703866596965</v>
      </c>
      <c r="Y16" s="115">
        <f t="shared" si="2"/>
        <v>63.088703866596965</v>
      </c>
    </row>
    <row r="17" spans="1:25" s="85" customFormat="1">
      <c r="A17" s="121" t="e">
        <f>IF(ISBLANK('Input data'!$A17),NA(),'Input data'!$A17)</f>
        <v>#N/A</v>
      </c>
      <c r="B17" s="122" t="e">
        <f>IF(ISBLANK('Input data'!$A17),NA(),IF('Input data'!$I$3=1,'Input data'!$B17,IF('Input data'!$I$3=2,'Input data'!$C17,'Input data'!$D17)))</f>
        <v>#N/A</v>
      </c>
      <c r="C17" s="115" t="str">
        <f t="shared" si="3"/>
        <v/>
      </c>
      <c r="D17" s="122" t="str">
        <f t="shared" si="4"/>
        <v/>
      </c>
      <c r="E17" s="162" t="str">
        <f t="shared" si="6"/>
        <v/>
      </c>
      <c r="F17" s="123" t="str">
        <f t="shared" si="5"/>
        <v/>
      </c>
      <c r="V17" s="120">
        <f t="shared" si="7"/>
        <v>50</v>
      </c>
      <c r="W17" s="115">
        <f t="shared" si="0"/>
        <v>210.74537122071519</v>
      </c>
      <c r="X17" s="120">
        <f t="shared" si="1"/>
        <v>66.568067698671584</v>
      </c>
      <c r="Y17" s="115">
        <f t="shared" si="2"/>
        <v>66.568067698671584</v>
      </c>
    </row>
    <row r="18" spans="1:25" s="85" customFormat="1">
      <c r="A18" s="121" t="e">
        <f>IF(ISBLANK('Input data'!$A18),NA(),'Input data'!$A18)</f>
        <v>#N/A</v>
      </c>
      <c r="B18" s="122" t="e">
        <f>IF(ISBLANK('Input data'!$A18),NA(),IF('Input data'!$I$3=1,'Input data'!$B18,IF('Input data'!$I$3=2,'Input data'!$C18,'Input data'!$D18)))</f>
        <v>#N/A</v>
      </c>
      <c r="C18" s="115" t="str">
        <f t="shared" si="3"/>
        <v/>
      </c>
      <c r="D18" s="122" t="str">
        <f t="shared" si="4"/>
        <v/>
      </c>
      <c r="E18" s="162" t="str">
        <f t="shared" si="6"/>
        <v/>
      </c>
      <c r="F18" s="123" t="str">
        <f t="shared" si="5"/>
        <v/>
      </c>
      <c r="V18" s="120">
        <f t="shared" si="7"/>
        <v>60</v>
      </c>
      <c r="W18" s="115">
        <f t="shared" si="0"/>
        <v>332.01800537087951</v>
      </c>
      <c r="X18" s="120">
        <f t="shared" si="1"/>
        <v>68.774966522436344</v>
      </c>
      <c r="Y18" s="115">
        <f t="shared" si="2"/>
        <v>68.774966522436344</v>
      </c>
    </row>
    <row r="19" spans="1:25" s="85" customFormat="1">
      <c r="A19" s="121" t="e">
        <f>IF(ISBLANK('Input data'!$A19),NA(),'Input data'!$A19)</f>
        <v>#N/A</v>
      </c>
      <c r="B19" s="122" t="e">
        <f>IF(ISBLANK('Input data'!$A19),NA(),IF('Input data'!$I$3=1,'Input data'!$B19,IF('Input data'!$I$3=2,'Input data'!$C19,'Input data'!$D19)))</f>
        <v>#N/A</v>
      </c>
      <c r="C19" s="115" t="str">
        <f t="shared" si="3"/>
        <v/>
      </c>
      <c r="D19" s="122" t="str">
        <f t="shared" si="4"/>
        <v/>
      </c>
      <c r="E19" s="162" t="str">
        <f t="shared" si="6"/>
        <v/>
      </c>
      <c r="F19" s="123" t="str">
        <f t="shared" si="5"/>
        <v/>
      </c>
      <c r="V19" s="120">
        <f t="shared" si="7"/>
        <v>70</v>
      </c>
      <c r="W19" s="115">
        <f t="shared" si="0"/>
        <v>523.745144489057</v>
      </c>
      <c r="X19" s="120">
        <f t="shared" si="1"/>
        <v>70.174763339727008</v>
      </c>
      <c r="Y19" s="115">
        <f t="shared" si="2"/>
        <v>70.174763339727008</v>
      </c>
    </row>
    <row r="20" spans="1:25" s="85" customFormat="1">
      <c r="A20" s="121" t="e">
        <f>IF(ISBLANK('Input data'!$A20),NA(),'Input data'!$A20)</f>
        <v>#N/A</v>
      </c>
      <c r="B20" s="122" t="e">
        <f>IF(ISBLANK('Input data'!$A20),NA(),IF('Input data'!$I$3=1,'Input data'!$B20,IF('Input data'!$I$3=2,'Input data'!$C20,'Input data'!$D20)))</f>
        <v>#N/A</v>
      </c>
      <c r="C20" s="115" t="str">
        <f t="shared" si="3"/>
        <v/>
      </c>
      <c r="D20" s="122" t="str">
        <f t="shared" si="4"/>
        <v/>
      </c>
      <c r="E20" s="162" t="str">
        <f t="shared" si="6"/>
        <v/>
      </c>
      <c r="F20" s="123" t="str">
        <f t="shared" si="5"/>
        <v/>
      </c>
      <c r="V20" s="120">
        <f t="shared" si="7"/>
        <v>80</v>
      </c>
      <c r="W20" s="115">
        <f t="shared" si="0"/>
        <v>826.85801188933283</v>
      </c>
      <c r="X20" s="120">
        <f t="shared" si="1"/>
        <v>71.062629656296266</v>
      </c>
      <c r="Y20" s="115">
        <f t="shared" si="2"/>
        <v>71.062629656296266</v>
      </c>
    </row>
    <row r="21" spans="1:25" s="85" customFormat="1">
      <c r="A21" s="121" t="e">
        <f>IF(ISBLANK('Input data'!$A21),NA(),'Input data'!$A21)</f>
        <v>#N/A</v>
      </c>
      <c r="B21" s="122" t="e">
        <f>IF(ISBLANK('Input data'!$A21),NA(),IF('Input data'!$I$3=1,'Input data'!$B21,IF('Input data'!$I$3=2,'Input data'!$C21,'Input data'!$D21)))</f>
        <v>#N/A</v>
      </c>
      <c r="C21" s="115" t="str">
        <f t="shared" si="3"/>
        <v/>
      </c>
      <c r="D21" s="122" t="str">
        <f t="shared" si="4"/>
        <v/>
      </c>
      <c r="E21" s="162" t="str">
        <f t="shared" si="6"/>
        <v/>
      </c>
      <c r="F21" s="123" t="str">
        <f t="shared" si="5"/>
        <v/>
      </c>
      <c r="V21" s="120">
        <f t="shared" si="7"/>
        <v>90</v>
      </c>
      <c r="W21" s="115">
        <f t="shared" si="0"/>
        <v>1306.0672193400612</v>
      </c>
      <c r="X21" s="120">
        <f t="shared" si="1"/>
        <v>71.625787527753687</v>
      </c>
      <c r="Y21" s="115">
        <f t="shared" si="2"/>
        <v>71.625787527753687</v>
      </c>
    </row>
    <row r="22" spans="1:25" s="85" customFormat="1">
      <c r="A22" s="121" t="e">
        <f>IF(ISBLANK('Input data'!$A22),NA(),'Input data'!$A22)</f>
        <v>#N/A</v>
      </c>
      <c r="B22" s="122" t="e">
        <f>IF(ISBLANK('Input data'!$A22),NA(),IF('Input data'!$I$3=1,'Input data'!$B22,IF('Input data'!$I$3=2,'Input data'!$C22,'Input data'!$D22)))</f>
        <v>#N/A</v>
      </c>
      <c r="C22" s="115" t="str">
        <f t="shared" si="3"/>
        <v/>
      </c>
      <c r="D22" s="122" t="str">
        <f t="shared" si="4"/>
        <v/>
      </c>
      <c r="E22" s="162" t="str">
        <f t="shared" si="6"/>
        <v/>
      </c>
      <c r="F22" s="123" t="str">
        <f t="shared" si="5"/>
        <v/>
      </c>
      <c r="V22" s="120">
        <f t="shared" si="7"/>
        <v>100</v>
      </c>
      <c r="W22" s="115">
        <f t="shared" si="0"/>
        <v>2063.6776318412963</v>
      </c>
      <c r="X22" s="120">
        <f t="shared" si="1"/>
        <v>71.98298858636565</v>
      </c>
      <c r="Y22" s="115">
        <f t="shared" si="2"/>
        <v>71.98298858636565</v>
      </c>
    </row>
    <row r="23" spans="1:25" s="85" customFormat="1">
      <c r="A23" s="121" t="e">
        <f>IF(ISBLANK('Input data'!$A23),NA(),'Input data'!$A23)</f>
        <v>#N/A</v>
      </c>
      <c r="B23" s="122" t="e">
        <f>IF(ISBLANK('Input data'!$A23),NA(),IF('Input data'!$I$3=1,'Input data'!$B23,IF('Input data'!$I$3=2,'Input data'!$C23,'Input data'!$D23)))</f>
        <v>#N/A</v>
      </c>
      <c r="C23" s="115" t="str">
        <f t="shared" si="3"/>
        <v/>
      </c>
      <c r="D23" s="122" t="str">
        <f t="shared" si="4"/>
        <v/>
      </c>
      <c r="E23" s="162" t="str">
        <f t="shared" si="6"/>
        <v/>
      </c>
      <c r="F23" s="123" t="str">
        <f t="shared" si="5"/>
        <v/>
      </c>
      <c r="V23" s="120">
        <f t="shared" si="7"/>
        <v>110</v>
      </c>
      <c r="W23" s="115">
        <f t="shared" si="0"/>
        <v>3261.4291111663379</v>
      </c>
      <c r="X23" s="120">
        <f t="shared" si="1"/>
        <v>72.209554888179568</v>
      </c>
      <c r="Y23" s="115">
        <f t="shared" si="2"/>
        <v>72.209554888179568</v>
      </c>
    </row>
    <row r="24" spans="1:25" s="85" customFormat="1">
      <c r="A24" s="121" t="e">
        <f>IF(ISBLANK('Input data'!$A24),NA(),'Input data'!$A24)</f>
        <v>#N/A</v>
      </c>
      <c r="B24" s="122" t="e">
        <f>IF(ISBLANK('Input data'!$A24),NA(),IF('Input data'!$I$3=1,'Input data'!$B24,IF('Input data'!$I$3=2,'Input data'!$C24,'Input data'!$D24)))</f>
        <v>#N/A</v>
      </c>
      <c r="C24" s="115" t="str">
        <f t="shared" si="3"/>
        <v/>
      </c>
      <c r="D24" s="122" t="str">
        <f t="shared" si="4"/>
        <v/>
      </c>
      <c r="E24" s="162" t="str">
        <f t="shared" si="6"/>
        <v/>
      </c>
      <c r="F24" s="123" t="str">
        <f t="shared" si="5"/>
        <v/>
      </c>
      <c r="V24" s="120">
        <f t="shared" si="7"/>
        <v>120</v>
      </c>
      <c r="W24" s="115">
        <f t="shared" si="0"/>
        <v>5155.0258497446739</v>
      </c>
      <c r="X24" s="120">
        <f t="shared" si="1"/>
        <v>72.353261878626654</v>
      </c>
      <c r="Y24" s="115">
        <f t="shared" si="2"/>
        <v>72.353261878626654</v>
      </c>
    </row>
    <row r="25" spans="1:25" s="85" customFormat="1">
      <c r="A25" s="121" t="e">
        <f>IF(ISBLANK('Input data'!$A25),NA(),'Input data'!$A25)</f>
        <v>#N/A</v>
      </c>
      <c r="B25" s="122" t="e">
        <f>IF(ISBLANK('Input data'!$A25),NA(),IF('Input data'!$I$3=1,'Input data'!$B25,IF('Input data'!$I$3=2,'Input data'!$C25,'Input data'!$D25)))</f>
        <v>#N/A</v>
      </c>
      <c r="C25" s="115" t="str">
        <f t="shared" si="3"/>
        <v/>
      </c>
      <c r="D25" s="122" t="str">
        <f t="shared" si="4"/>
        <v/>
      </c>
      <c r="E25" s="162" t="str">
        <f t="shared" si="6"/>
        <v/>
      </c>
      <c r="F25" s="123" t="str">
        <f t="shared" si="5"/>
        <v/>
      </c>
      <c r="V25" s="120">
        <f t="shared" si="7"/>
        <v>130</v>
      </c>
      <c r="W25" s="115">
        <f t="shared" si="0"/>
        <v>8148.7258536679783</v>
      </c>
      <c r="X25" s="120">
        <f t="shared" si="1"/>
        <v>72.444412676154883</v>
      </c>
      <c r="Y25" s="115">
        <f t="shared" si="2"/>
        <v>72.444412676154883</v>
      </c>
    </row>
    <row r="26" spans="1:25" s="85" customFormat="1">
      <c r="A26" s="121" t="e">
        <f>IF(ISBLANK('Input data'!$A26),NA(),'Input data'!$A26)</f>
        <v>#N/A</v>
      </c>
      <c r="B26" s="122" t="e">
        <f>IF(ISBLANK('Input data'!$A26),NA(),IF('Input data'!$I$3=1,'Input data'!$B26,IF('Input data'!$I$3=2,'Input data'!$C26,'Input data'!$D26)))</f>
        <v>#N/A</v>
      </c>
      <c r="C26" s="115" t="str">
        <f t="shared" si="3"/>
        <v/>
      </c>
      <c r="D26" s="122" t="str">
        <f t="shared" si="4"/>
        <v/>
      </c>
      <c r="E26" s="162" t="str">
        <f t="shared" si="6"/>
        <v/>
      </c>
      <c r="F26" s="123" t="str">
        <f t="shared" si="5"/>
        <v/>
      </c>
      <c r="V26" s="120">
        <f t="shared" si="7"/>
        <v>140</v>
      </c>
      <c r="W26" s="115">
        <f t="shared" si="0"/>
        <v>12881.644711681512</v>
      </c>
      <c r="X26" s="120">
        <f t="shared" si="1"/>
        <v>72.502228011819369</v>
      </c>
      <c r="Y26" s="115">
        <f t="shared" si="2"/>
        <v>72.502228011819369</v>
      </c>
    </row>
    <row r="27" spans="1:25" s="85" customFormat="1">
      <c r="A27" s="121" t="e">
        <f>IF(ISBLANK('Input data'!$A27),NA(),'Input data'!$A27)</f>
        <v>#N/A</v>
      </c>
      <c r="B27" s="122" t="e">
        <f>IF(ISBLANK('Input data'!$A27),NA(),IF('Input data'!$I$3=1,'Input data'!$B27,IF('Input data'!$I$3=2,'Input data'!$C27,'Input data'!$D27)))</f>
        <v>#N/A</v>
      </c>
      <c r="C27" s="115" t="str">
        <f t="shared" si="3"/>
        <v/>
      </c>
      <c r="D27" s="122" t="str">
        <f t="shared" si="4"/>
        <v/>
      </c>
      <c r="E27" s="162" t="str">
        <f t="shared" si="6"/>
        <v/>
      </c>
      <c r="F27" s="123" t="str">
        <f t="shared" si="5"/>
        <v/>
      </c>
      <c r="V27" s="120">
        <f t="shared" si="7"/>
        <v>150</v>
      </c>
      <c r="W27" s="115">
        <f t="shared" si="0"/>
        <v>20364.198370092156</v>
      </c>
      <c r="X27" s="120">
        <f t="shared" si="1"/>
        <v>72.538899254733735</v>
      </c>
      <c r="Y27" s="115">
        <f t="shared" si="2"/>
        <v>72.538899254733735</v>
      </c>
    </row>
    <row r="28" spans="1:25" s="85" customFormat="1">
      <c r="A28" s="121" t="e">
        <f>IF(ISBLANK('Input data'!$A28),NA(),'Input data'!$A28)</f>
        <v>#N/A</v>
      </c>
      <c r="B28" s="122" t="e">
        <f>IF(ISBLANK('Input data'!$A28),NA(),IF('Input data'!$I$3=1,'Input data'!$B28,IF('Input data'!$I$3=2,'Input data'!$C28,'Input data'!$D28)))</f>
        <v>#N/A</v>
      </c>
      <c r="C28" s="115" t="str">
        <f t="shared" si="3"/>
        <v/>
      </c>
      <c r="D28" s="122" t="str">
        <f t="shared" si="4"/>
        <v/>
      </c>
      <c r="E28" s="162" t="str">
        <f t="shared" si="6"/>
        <v/>
      </c>
      <c r="F28" s="123" t="str">
        <f t="shared" si="5"/>
        <v/>
      </c>
      <c r="V28" s="120">
        <f t="shared" si="7"/>
        <v>160</v>
      </c>
      <c r="W28" s="115">
        <f t="shared" si="0"/>
        <v>32193.813652043904</v>
      </c>
      <c r="X28" s="120">
        <f t="shared" si="1"/>
        <v>72.562159174293654</v>
      </c>
      <c r="Y28" s="115">
        <f t="shared" si="2"/>
        <v>72.562159174293654</v>
      </c>
    </row>
    <row r="29" spans="1:25" s="85" customFormat="1">
      <c r="A29" s="121" t="e">
        <f>IF(ISBLANK('Input data'!$A29),NA(),'Input data'!$A29)</f>
        <v>#N/A</v>
      </c>
      <c r="B29" s="122" t="e">
        <f>IF(ISBLANK('Input data'!$A29),NA(),IF('Input data'!$I$3=1,'Input data'!$B29,IF('Input data'!$I$3=2,'Input data'!$C29,'Input data'!$D29)))</f>
        <v>#N/A</v>
      </c>
      <c r="C29" s="115" t="str">
        <f t="shared" si="3"/>
        <v/>
      </c>
      <c r="D29" s="122" t="str">
        <f>IF(ISBLANK(KV_data),"",US-p_KASYM*(US-LS)/(1+p_KASYM)*EXP(-(1+p_KASYM)/(2*C_KASYM*p_KASYM)*($A29-T0_KASYM)))</f>
        <v/>
      </c>
      <c r="E29" s="162" t="str">
        <f t="shared" si="6"/>
        <v/>
      </c>
      <c r="F29" s="123" t="str">
        <f t="shared" si="5"/>
        <v/>
      </c>
      <c r="V29" s="120">
        <f t="shared" si="7"/>
        <v>170</v>
      </c>
      <c r="W29" s="115">
        <f t="shared" si="0"/>
        <v>50895.957880797774</v>
      </c>
      <c r="X29" s="120">
        <f t="shared" si="1"/>
        <v>72.576912529100767</v>
      </c>
      <c r="Y29" s="115">
        <f t="shared" si="2"/>
        <v>72.576912529100767</v>
      </c>
    </row>
    <row r="30" spans="1:25" s="85" customFormat="1">
      <c r="A30" s="121" t="e">
        <f>IF(ISBLANK('Input data'!$A30),NA(),'Input data'!$A30)</f>
        <v>#N/A</v>
      </c>
      <c r="B30" s="122" t="e">
        <f>IF(ISBLANK('Input data'!$A30),NA(),IF('Input data'!$I$3=1,'Input data'!$B30,IF('Input data'!$I$3=2,'Input data'!$C30,'Input data'!$D30)))</f>
        <v>#N/A</v>
      </c>
      <c r="C30" s="115" t="str">
        <f t="shared" si="3"/>
        <v/>
      </c>
      <c r="D30" s="122" t="str">
        <f t="shared" si="4"/>
        <v/>
      </c>
      <c r="E30" s="162" t="str">
        <f t="shared" si="6"/>
        <v/>
      </c>
      <c r="F30" s="123" t="str">
        <f t="shared" si="5"/>
        <v/>
      </c>
      <c r="V30" s="120">
        <f t="shared" si="7"/>
        <v>180</v>
      </c>
      <c r="W30" s="115">
        <f t="shared" si="0"/>
        <v>80463.292947623748</v>
      </c>
      <c r="X30" s="120">
        <f t="shared" si="1"/>
        <v>72.586270320622958</v>
      </c>
      <c r="Y30" s="115">
        <f t="shared" si="2"/>
        <v>72.586270320622958</v>
      </c>
    </row>
    <row r="31" spans="1:25" s="85" customFormat="1">
      <c r="A31" s="121" t="e">
        <f>IF(ISBLANK('Input data'!$A31),NA(),'Input data'!$A31)</f>
        <v>#N/A</v>
      </c>
      <c r="B31" s="122" t="e">
        <f>IF(ISBLANK('Input data'!$A31),NA(),IF('Input data'!$I$3=1,'Input data'!$B31,IF('Input data'!$I$3=2,'Input data'!$C31,'Input data'!$D31)))</f>
        <v>#N/A</v>
      </c>
      <c r="C31" s="115" t="str">
        <f t="shared" si="3"/>
        <v/>
      </c>
      <c r="D31" s="122" t="str">
        <f t="shared" si="4"/>
        <v/>
      </c>
      <c r="E31" s="162" t="str">
        <f t="shared" si="6"/>
        <v/>
      </c>
      <c r="F31" s="123" t="str">
        <f t="shared" si="5"/>
        <v/>
      </c>
      <c r="V31" s="120">
        <f t="shared" si="7"/>
        <v>190</v>
      </c>
      <c r="W31" s="115">
        <f t="shared" si="0"/>
        <v>127208.05612883513</v>
      </c>
      <c r="X31" s="120">
        <f t="shared" si="1"/>
        <v>72.592205801963829</v>
      </c>
      <c r="Y31" s="115">
        <f t="shared" si="2"/>
        <v>72.592205801963829</v>
      </c>
    </row>
    <row r="32" spans="1:25" s="85" customFormat="1" ht="15.75" thickBot="1">
      <c r="A32" s="124" t="e">
        <f>IF(ISBLANK('Input data'!$A32),NA(),'Input data'!$A32)</f>
        <v>#N/A</v>
      </c>
      <c r="B32" s="125" t="e">
        <f>IF(ISBLANK('Input data'!$A32),NA(),IF('Input data'!$I$3=1,'Input data'!$B32,IF('Input data'!$I$3=2,'Input data'!$C32,'Input data'!$D32)))</f>
        <v>#N/A</v>
      </c>
      <c r="C32" s="126" t="str">
        <f t="shared" si="3"/>
        <v/>
      </c>
      <c r="D32" s="125" t="str">
        <f t="shared" si="4"/>
        <v/>
      </c>
      <c r="E32" s="163" t="str">
        <f t="shared" si="6"/>
        <v/>
      </c>
      <c r="F32" s="127" t="str">
        <f t="shared" si="5"/>
        <v/>
      </c>
      <c r="V32" s="120">
        <f t="shared" si="7"/>
        <v>200</v>
      </c>
      <c r="W32" s="115">
        <f t="shared" si="0"/>
        <v>201109.63974903568</v>
      </c>
      <c r="X32" s="120">
        <f t="shared" si="1"/>
        <v>72.595970572600592</v>
      </c>
      <c r="Y32" s="115">
        <f t="shared" si="2"/>
        <v>72.595970572600592</v>
      </c>
    </row>
    <row r="33" spans="1:25" s="85" customFormat="1">
      <c r="V33" s="120">
        <f>V32+10</f>
        <v>210</v>
      </c>
      <c r="W33" s="115">
        <f t="shared" si="0"/>
        <v>317945.06023029023</v>
      </c>
      <c r="X33" s="120">
        <f t="shared" si="1"/>
        <v>72.598358499903128</v>
      </c>
      <c r="Y33" s="115">
        <f t="shared" si="2"/>
        <v>72.598358499903128</v>
      </c>
    </row>
    <row r="34" spans="1:25" s="85" customFormat="1">
      <c r="C34" s="94"/>
      <c r="E34" s="153">
        <f>T0_KASYM+2*C_KASYM/(1+p_KASYM)*LN((1+p_KASYM)/2)</f>
        <v>11.199289163752058</v>
      </c>
      <c r="F34" s="153">
        <f>T0_KASYM-p_KASYM*2*C_KASYM/(1+p_KASYM)*LN((1+p_KASYM)/(2*p_KASYM))</f>
        <v>11.199490733868128</v>
      </c>
      <c r="G34" s="94"/>
      <c r="V34" s="120">
        <f t="shared" si="7"/>
        <v>220</v>
      </c>
      <c r="W34" s="115">
        <f t="shared" ref="W34:W52" si="8">LS+(US-LS)/(1+$B$37)*EXP((1+$B$37)/(2*$B$36)*($V34-$B$35))</f>
        <v>502657.14365715039</v>
      </c>
      <c r="X34" s="120">
        <f t="shared" ref="X34:X52" si="9">US-$B$37*(US-LS)/(1+$B$37)*EXP(-(1+$B$37)/(2*$B$36*$B$37)*($V34-$B$35))</f>
        <v>72.599873119876634</v>
      </c>
      <c r="Y34" s="115">
        <f t="shared" ref="Y34:Y52" si="10">IF($V34&lt;$B$35,$W34,$X34)</f>
        <v>72.599873119876634</v>
      </c>
    </row>
    <row r="35" spans="1:25" s="85" customFormat="1" ht="18">
      <c r="A35" s="96" t="s">
        <v>16</v>
      </c>
      <c r="B35" s="168">
        <v>11.132950816007948</v>
      </c>
      <c r="C35" s="98" t="s">
        <v>9</v>
      </c>
      <c r="D35" s="140" t="s">
        <v>22</v>
      </c>
      <c r="E35" s="145">
        <f>IF(AVERAGE(DBTT1_KASYM,DBTT2_KASYM)&lt;T0_KASYM,DBTT1_KASYM,DBTT2_KASYM)</f>
        <v>11.199490733868128</v>
      </c>
      <c r="F35" s="141" t="s">
        <v>61</v>
      </c>
      <c r="V35" s="120">
        <f t="shared" si="7"/>
        <v>230</v>
      </c>
      <c r="W35" s="115">
        <f t="shared" si="8"/>
        <v>794679.4911897243</v>
      </c>
      <c r="X35" s="120">
        <f t="shared" si="9"/>
        <v>72.600833816486514</v>
      </c>
      <c r="Y35" s="115">
        <f t="shared" si="10"/>
        <v>72.600833816486514</v>
      </c>
    </row>
    <row r="36" spans="1:25" s="85" customFormat="1">
      <c r="A36" s="96" t="s">
        <v>14</v>
      </c>
      <c r="B36" s="168">
        <v>21.898973760634373</v>
      </c>
      <c r="C36" s="142"/>
      <c r="D36" s="98"/>
      <c r="E36" s="147">
        <f>DBTT_KASYM</f>
        <v>11.199490733868128</v>
      </c>
      <c r="F36" s="148">
        <v>0</v>
      </c>
      <c r="V36" s="120">
        <f t="shared" si="7"/>
        <v>240</v>
      </c>
      <c r="W36" s="115">
        <f t="shared" si="8"/>
        <v>1256355.0344261921</v>
      </c>
      <c r="X36" s="120">
        <f t="shared" si="9"/>
        <v>72.601443169322451</v>
      </c>
      <c r="Y36" s="115">
        <f t="shared" si="10"/>
        <v>72.601443169322451</v>
      </c>
    </row>
    <row r="37" spans="1:25" s="85" customFormat="1">
      <c r="A37" s="96" t="s">
        <v>25</v>
      </c>
      <c r="B37" s="171">
        <v>1.0060862594443409</v>
      </c>
      <c r="C37" s="142"/>
      <c r="D37" s="98"/>
      <c r="E37" s="147">
        <f>DBTT_KASYM</f>
        <v>11.199490733868128</v>
      </c>
      <c r="F37" s="148">
        <f>(LS+US)/2</f>
        <v>37.301249999999996</v>
      </c>
      <c r="V37" s="120">
        <f t="shared" si="7"/>
        <v>250</v>
      </c>
      <c r="W37" s="115">
        <f t="shared" si="8"/>
        <v>1986245.4315948994</v>
      </c>
      <c r="X37" s="120">
        <f t="shared" si="9"/>
        <v>72.60182967102844</v>
      </c>
      <c r="Y37" s="115">
        <f t="shared" si="10"/>
        <v>72.60182967102844</v>
      </c>
    </row>
    <row r="38" spans="1:25" s="85" customFormat="1" ht="15.75" thickBot="1">
      <c r="D38" s="154"/>
      <c r="E38" s="155" t="e">
        <f>ABS(#REF!-#REF!)</f>
        <v>#REF!</v>
      </c>
      <c r="I38" s="156"/>
      <c r="V38" s="120">
        <f t="shared" ref="V38:V43" si="11">V37+10</f>
        <v>260</v>
      </c>
      <c r="W38" s="115">
        <f t="shared" si="8"/>
        <v>3140172.6856669709</v>
      </c>
      <c r="X38" s="120">
        <f t="shared" si="9"/>
        <v>72.602074822211677</v>
      </c>
      <c r="Y38" s="115">
        <f t="shared" si="10"/>
        <v>72.602074822211677</v>
      </c>
    </row>
    <row r="39" spans="1:25" s="85" customFormat="1" ht="15.75" thickBot="1">
      <c r="A39" s="102" t="s">
        <v>10</v>
      </c>
      <c r="B39" s="128">
        <f>SUMSQ(F3:F32)</f>
        <v>72.349339683175131</v>
      </c>
      <c r="C39" s="103" t="s">
        <v>38</v>
      </c>
      <c r="D39" s="138"/>
      <c r="E39" s="138"/>
      <c r="G39" s="187" t="s">
        <v>60</v>
      </c>
      <c r="H39" s="188"/>
      <c r="V39" s="120">
        <f t="shared" si="11"/>
        <v>270</v>
      </c>
      <c r="W39" s="115">
        <f t="shared" si="8"/>
        <v>4964485.0931948368</v>
      </c>
      <c r="X39" s="120">
        <f t="shared" si="9"/>
        <v>72.602230317263093</v>
      </c>
      <c r="Y39" s="115">
        <f t="shared" si="10"/>
        <v>72.602230317263093</v>
      </c>
    </row>
    <row r="40" spans="1:25" s="85" customFormat="1">
      <c r="A40" s="102" t="s">
        <v>17</v>
      </c>
      <c r="B40" s="114">
        <f>COUNT(A3:A32)-3</f>
        <v>9</v>
      </c>
      <c r="C40" s="112" t="s">
        <v>37</v>
      </c>
      <c r="D40" s="157"/>
      <c r="E40" s="157"/>
      <c r="G40" s="134" t="str">
        <f>IF(Fit_index=1,"KV (J)",IF(Fit_index=2,"LE (mm)","SFA (%)"))</f>
        <v>KV (J)</v>
      </c>
      <c r="H40" s="135" t="s">
        <v>56</v>
      </c>
      <c r="V40" s="120">
        <f t="shared" si="11"/>
        <v>280</v>
      </c>
      <c r="W40" s="115">
        <f t="shared" si="8"/>
        <v>7848649.3665626729</v>
      </c>
      <c r="X40" s="120">
        <f t="shared" si="9"/>
        <v>72.602328945018797</v>
      </c>
      <c r="Y40" s="115">
        <f t="shared" si="10"/>
        <v>72.602328945018797</v>
      </c>
    </row>
    <row r="41" spans="1:25" s="85" customFormat="1">
      <c r="A41" s="102" t="s">
        <v>39</v>
      </c>
      <c r="B41" s="129">
        <f>SQRT($B$39/$B$40)</f>
        <v>2.8352805011766988</v>
      </c>
      <c r="C41" s="85" t="str">
        <f>IF('Input data'!$I$3=1,"J (root mean square error)",IF('Input data'!$I$3=2,"mm (root mean square error)","% (root mean square error)"))</f>
        <v>J (root mean square error)</v>
      </c>
      <c r="G41" s="169">
        <v>28</v>
      </c>
      <c r="H41" s="130">
        <f>IF(ISBLANK($G41),"",IF($G41&gt;US,"N/A",IF(AVERAGE($J41,$K41)&lt;T0_KASYM,$J41,$K41)))</f>
        <v>4.5224233692894362</v>
      </c>
      <c r="J41" s="100">
        <f>T0_KASYM+2*C_KASYM*LN(($G41-LS)*(1+p_KASYM)/(US-LS))/(1+p_KASYM)</f>
        <v>4.5224233692894362</v>
      </c>
      <c r="K41" s="100">
        <f>T0_KASYM-2*C_KASYM*p_KASYM*LN((US-$G41)*(1+p_KASYM)/(p_KASYM*(US-LS)))/(1+p_KASYM)</f>
        <v>6.062405831639988</v>
      </c>
      <c r="V41" s="120">
        <f t="shared" si="11"/>
        <v>290</v>
      </c>
      <c r="W41" s="115">
        <f t="shared" si="8"/>
        <v>12408396.656251792</v>
      </c>
      <c r="X41" s="120">
        <f t="shared" si="9"/>
        <v>72.602391502856548</v>
      </c>
      <c r="Y41" s="115">
        <f t="shared" si="10"/>
        <v>72.602391502856548</v>
      </c>
    </row>
    <row r="42" spans="1:25" s="85" customFormat="1" ht="15.75" thickBot="1">
      <c r="G42" s="170">
        <v>41</v>
      </c>
      <c r="H42" s="131">
        <f>IF(ISBLANK($G42),"",IF($G42&gt;US,"N/A",IF(AVERAGE($J42,$K42)&lt;T0_KASYM,$J42,$K42)))</f>
        <v>13.630669709256653</v>
      </c>
      <c r="J42" s="100">
        <f>T0_KASYM+2*C_KASYM*LN(($G42-LS)*(1+p_KASYM)/(US-LS))/(1+p_KASYM)</f>
        <v>13.374754341112062</v>
      </c>
      <c r="K42" s="100">
        <f>T0_KASYM-2*C_KASYM*p_KASYM*LN((US-$G42)*(1+p_KASYM)/(p_KASYM*(US-LS)))/(1+p_KASYM)</f>
        <v>13.630669709256653</v>
      </c>
      <c r="V42" s="120">
        <f t="shared" si="11"/>
        <v>300</v>
      </c>
      <c r="W42" s="115">
        <f t="shared" si="8"/>
        <v>19617173.055645049</v>
      </c>
      <c r="X42" s="120">
        <f t="shared" si="9"/>
        <v>72.602431182184489</v>
      </c>
      <c r="Y42" s="115">
        <f t="shared" si="10"/>
        <v>72.602431182184489</v>
      </c>
    </row>
    <row r="43" spans="1:25" s="85" customFormat="1">
      <c r="V43" s="120">
        <f t="shared" si="11"/>
        <v>310</v>
      </c>
      <c r="W43" s="115">
        <f t="shared" si="8"/>
        <v>31013957.542794187</v>
      </c>
      <c r="X43" s="120">
        <f t="shared" si="9"/>
        <v>72.60245635007908</v>
      </c>
      <c r="Y43" s="115">
        <f t="shared" si="10"/>
        <v>72.60245635007908</v>
      </c>
    </row>
    <row r="44" spans="1:25" s="85" customFormat="1" ht="15.75" thickBot="1">
      <c r="G44" s="137"/>
      <c r="V44" s="120">
        <f t="shared" si="7"/>
        <v>320</v>
      </c>
      <c r="W44" s="115">
        <f t="shared" si="8"/>
        <v>49031813.757262975</v>
      </c>
      <c r="X44" s="120">
        <f t="shared" si="9"/>
        <v>72.602472313628638</v>
      </c>
      <c r="Y44" s="115">
        <f t="shared" si="10"/>
        <v>72.602472313628638</v>
      </c>
    </row>
    <row r="45" spans="1:25" s="85" customFormat="1" ht="15.75" thickBot="1">
      <c r="B45" s="111" t="s">
        <v>44</v>
      </c>
      <c r="C45" s="132">
        <f>2*(COUNT(B35:B37)+1)+COUNT(Temperatures)*LN(SSR_KASYM/COUNT(Temperatures))</f>
        <v>29.55919611856088</v>
      </c>
      <c r="D45" s="189" t="s">
        <v>45</v>
      </c>
      <c r="E45" s="189"/>
      <c r="F45" s="189"/>
      <c r="G45" s="189"/>
      <c r="V45" s="120">
        <f t="shared" si="7"/>
        <v>330</v>
      </c>
      <c r="W45" s="115">
        <f t="shared" si="8"/>
        <v>77517317.096501529</v>
      </c>
      <c r="X45" s="120">
        <f t="shared" si="9"/>
        <v>72.602482439025252</v>
      </c>
      <c r="Y45" s="115">
        <f t="shared" si="10"/>
        <v>72.602482439025252</v>
      </c>
    </row>
    <row r="46" spans="1:25" s="85" customFormat="1" ht="15.75" thickBot="1">
      <c r="B46" s="111" t="s">
        <v>46</v>
      </c>
      <c r="C46" s="132">
        <f>(COUNT(B35:B37)+1)*LN(COUNT(Temperatures))+COUNT(Temperatures)*LN(SSR_KASYM/COUNT(Temperatures))</f>
        <v>31.498822717712883</v>
      </c>
      <c r="D46" s="189" t="s">
        <v>47</v>
      </c>
      <c r="E46" s="189"/>
      <c r="F46" s="189"/>
      <c r="G46" s="189"/>
      <c r="V46" s="120">
        <f t="shared" si="7"/>
        <v>340</v>
      </c>
      <c r="W46" s="115">
        <f t="shared" si="8"/>
        <v>122551747.98724091</v>
      </c>
      <c r="X46" s="120">
        <f t="shared" si="9"/>
        <v>72.602488861384899</v>
      </c>
      <c r="Y46" s="115">
        <f t="shared" si="10"/>
        <v>72.602488861384899</v>
      </c>
    </row>
    <row r="47" spans="1:25" s="85" customFormat="1">
      <c r="V47" s="120">
        <f t="shared" si="7"/>
        <v>350</v>
      </c>
      <c r="W47" s="115">
        <f t="shared" si="8"/>
        <v>193749365.29804647</v>
      </c>
      <c r="X47" s="120">
        <f t="shared" si="9"/>
        <v>72.60249293497381</v>
      </c>
      <c r="Y47" s="115">
        <f t="shared" si="10"/>
        <v>72.60249293497381</v>
      </c>
    </row>
    <row r="48" spans="1:25" s="85" customFormat="1">
      <c r="V48" s="120">
        <f t="shared" si="7"/>
        <v>360</v>
      </c>
      <c r="W48" s="115">
        <f t="shared" si="8"/>
        <v>306309924.19651145</v>
      </c>
      <c r="X48" s="120">
        <f t="shared" si="9"/>
        <v>72.602495518779079</v>
      </c>
      <c r="Y48" s="115">
        <f t="shared" si="10"/>
        <v>72.602495518779079</v>
      </c>
    </row>
    <row r="49" spans="22:27">
      <c r="V49" s="120">
        <f t="shared" si="7"/>
        <v>370</v>
      </c>
      <c r="W49" s="115">
        <f t="shared" si="8"/>
        <v>484263624.02646238</v>
      </c>
      <c r="X49" s="120">
        <f t="shared" si="9"/>
        <v>72.602497157640983</v>
      </c>
      <c r="Y49" s="115">
        <f t="shared" si="10"/>
        <v>72.602497157640983</v>
      </c>
      <c r="Z49" s="85"/>
      <c r="AA49" s="85"/>
    </row>
    <row r="50" spans="22:27">
      <c r="V50" s="120">
        <f t="shared" si="7"/>
        <v>380</v>
      </c>
      <c r="W50" s="115">
        <f t="shared" si="8"/>
        <v>765601239.91138232</v>
      </c>
      <c r="X50" s="120">
        <f t="shared" si="9"/>
        <v>72.60249819714204</v>
      </c>
      <c r="Y50" s="115">
        <f t="shared" si="10"/>
        <v>72.60249819714204</v>
      </c>
      <c r="Z50" s="85"/>
      <c r="AA50" s="85"/>
    </row>
    <row r="51" spans="22:27">
      <c r="V51" s="120">
        <f t="shared" si="7"/>
        <v>390</v>
      </c>
      <c r="W51" s="115">
        <f t="shared" si="8"/>
        <v>1210384653.7288291</v>
      </c>
      <c r="X51" s="120">
        <f t="shared" si="9"/>
        <v>72.602498856479144</v>
      </c>
      <c r="Y51" s="115">
        <f t="shared" si="10"/>
        <v>72.602498856479144</v>
      </c>
      <c r="Z51" s="85"/>
      <c r="AA51" s="85"/>
    </row>
    <row r="52" spans="22:27">
      <c r="V52" s="120">
        <f t="shared" si="7"/>
        <v>400</v>
      </c>
      <c r="W52" s="115">
        <f t="shared" si="8"/>
        <v>1913569276.1791193</v>
      </c>
      <c r="X52" s="120">
        <f t="shared" si="9"/>
        <v>72.602499274684973</v>
      </c>
      <c r="Y52" s="115">
        <f t="shared" si="10"/>
        <v>72.602499274684973</v>
      </c>
      <c r="Z52" s="85"/>
      <c r="AA52" s="85"/>
    </row>
    <row r="57" spans="22:27">
      <c r="W57" s="113">
        <f>NORMSINV(0.05)</f>
        <v>-1.6448536269514726</v>
      </c>
      <c r="X57" s="113" t="e">
        <f>PERCENTILE($AX$3:$AX$32,0.05)</f>
        <v>#NUM!</v>
      </c>
    </row>
    <row r="58" spans="22:27">
      <c r="W58" s="113">
        <f>NORMSINV(0.95)</f>
        <v>1.6448536269514715</v>
      </c>
      <c r="X58" s="113" t="e">
        <f>PERCENTILE($AX$3:$AX$32,0.95)</f>
        <v>#NUM!</v>
      </c>
    </row>
    <row r="59" spans="22:27">
      <c r="W59" s="158"/>
      <c r="X59" s="144"/>
    </row>
  </sheetData>
  <sheetProtection sheet="1" scenarios="1"/>
  <mergeCells count="3">
    <mergeCell ref="D46:G46"/>
    <mergeCell ref="G39:H39"/>
    <mergeCell ref="D45:G45"/>
  </mergeCells>
  <phoneticPr fontId="14" type="noConversion"/>
  <conditionalFormatting sqref="A3:B32">
    <cfRule type="expression" dxfId="9" priority="7">
      <formula>ISNA($A3)</formula>
    </cfRule>
  </conditionalFormatting>
  <conditionalFormatting sqref="E3:F32">
    <cfRule type="expression" dxfId="8" priority="6">
      <formula>ISNA($E3)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2" r:id="rId3" name="Button 4">
              <controlPr defaultSize="0" print="0" autoFill="0" autoPict="0" macro="[0]!Fit_KA">
                <anchor moveWithCells="1" sizeWithCells="1">
                  <from>
                    <xdr:col>6</xdr:col>
                    <xdr:colOff>476250</xdr:colOff>
                    <xdr:row>33</xdr:row>
                    <xdr:rowOff>180975</xdr:rowOff>
                  </from>
                  <to>
                    <xdr:col>7</xdr:col>
                    <xdr:colOff>542925</xdr:colOff>
                    <xdr:row>35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" r:id="rId4" name="Button 5">
              <controlPr defaultSize="0" print="0" autoFill="0" autoPict="0" macro="[0]!Scale_auto">
                <anchor moveWithCells="1" sizeWithCells="1">
                  <from>
                    <xdr:col>6</xdr:col>
                    <xdr:colOff>409575</xdr:colOff>
                    <xdr:row>0</xdr:row>
                    <xdr:rowOff>19050</xdr:rowOff>
                  </from>
                  <to>
                    <xdr:col>8</xdr:col>
                    <xdr:colOff>9525</xdr:colOff>
                    <xdr:row>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" r:id="rId5" name="Button 6">
              <controlPr defaultSize="0" print="0" autoFill="0" autoPict="0" macro="[0]!Scale_SFA">
                <anchor moveWithCells="1" sizeWithCells="1">
                  <from>
                    <xdr:col>6</xdr:col>
                    <xdr:colOff>409575</xdr:colOff>
                    <xdr:row>2</xdr:row>
                    <xdr:rowOff>104775</xdr:rowOff>
                  </from>
                  <to>
                    <xdr:col>8</xdr:col>
                    <xdr:colOff>9525</xdr:colOff>
                    <xdr:row>5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FC5D1D-8D32-4A1C-B92B-FA98BF73B4E2}">
  <sheetPr codeName="Sheet9"/>
  <dimension ref="A1:K23"/>
  <sheetViews>
    <sheetView workbookViewId="0">
      <selection activeCell="A16" sqref="A16"/>
    </sheetView>
  </sheetViews>
  <sheetFormatPr defaultColWidth="8.85546875" defaultRowHeight="15"/>
  <cols>
    <col min="1" max="1" width="8.85546875" style="42"/>
    <col min="2" max="3" width="9.140625" style="42" customWidth="1"/>
    <col min="4" max="4" width="9.42578125" style="42" bestFit="1" customWidth="1"/>
    <col min="5" max="6" width="9.140625" style="42" customWidth="1"/>
    <col min="7" max="16384" width="8.85546875" style="42"/>
  </cols>
  <sheetData>
    <row r="1" spans="1:11" ht="21.75" thickBot="1">
      <c r="A1" s="199" t="s">
        <v>69</v>
      </c>
      <c r="B1" s="200"/>
      <c r="C1" s="200"/>
      <c r="D1" s="200"/>
      <c r="E1" s="200"/>
      <c r="F1" s="200"/>
      <c r="G1" s="200"/>
      <c r="H1" s="201"/>
    </row>
    <row r="3" spans="1:11">
      <c r="A3" s="202" t="s">
        <v>67</v>
      </c>
      <c r="B3" s="202"/>
      <c r="C3" s="10" t="str">
        <f>Dataset_ID</f>
        <v>Sample dataset #1 (X52 steel) - KV</v>
      </c>
    </row>
    <row r="4" spans="1:11" ht="15.75" thickBot="1"/>
    <row r="5" spans="1:11">
      <c r="B5" s="12" t="s">
        <v>26</v>
      </c>
      <c r="C5" s="43" t="s">
        <v>31</v>
      </c>
      <c r="D5" s="43" t="s">
        <v>28</v>
      </c>
      <c r="E5" s="2" t="s">
        <v>42</v>
      </c>
      <c r="F5" s="192" t="s">
        <v>48</v>
      </c>
      <c r="G5" s="194" t="s">
        <v>49</v>
      </c>
    </row>
    <row r="6" spans="1:11" ht="15.75" thickBot="1">
      <c r="B6" s="13" t="s">
        <v>27</v>
      </c>
      <c r="C6" s="44" t="s">
        <v>32</v>
      </c>
      <c r="D6" s="44" t="s">
        <v>32</v>
      </c>
      <c r="E6" s="3" t="str">
        <f>IF(Fit_index=1,"(J)",IF(Fit_index=2,"(mm)","(%)"))</f>
        <v>(J)</v>
      </c>
      <c r="F6" s="193"/>
      <c r="G6" s="195"/>
    </row>
    <row r="7" spans="1:11">
      <c r="B7" s="4" t="s">
        <v>62</v>
      </c>
      <c r="C7" s="5">
        <f>DBTT_TANH</f>
        <v>11.27188439101162</v>
      </c>
      <c r="D7" s="5">
        <f>C_TANH</f>
        <v>30.142866254820387</v>
      </c>
      <c r="E7" s="14">
        <f>RMSE_TANH</f>
        <v>2.2305981750911026</v>
      </c>
      <c r="F7" s="15">
        <f>AIC_TANH</f>
        <v>23.066616265351531</v>
      </c>
      <c r="G7" s="16">
        <f>BIC_TANH</f>
        <v>24.521336214715532</v>
      </c>
      <c r="H7" s="1">
        <f>RANK($E7,$E$7:$E$11)</f>
        <v>5</v>
      </c>
      <c r="I7" s="1">
        <f>RANK($F7,$F$7:$F$11)</f>
        <v>4</v>
      </c>
      <c r="J7" s="1">
        <f>RANK($G7,$G$7:$G$11)</f>
        <v>4</v>
      </c>
      <c r="K7" s="1">
        <f>SUM(H7:J7)</f>
        <v>13</v>
      </c>
    </row>
    <row r="8" spans="1:11">
      <c r="B8" s="6" t="s">
        <v>63</v>
      </c>
      <c r="C8" s="7">
        <f>DBTT_ATANH</f>
        <v>3.6174162784169184</v>
      </c>
      <c r="D8" s="7">
        <f>C_ATANH</f>
        <v>24.793445682891321</v>
      </c>
      <c r="E8" s="17">
        <f>RMSE_ATANH</f>
        <v>5.2260103175156809</v>
      </c>
      <c r="F8" s="18">
        <f>AIC_ATANH</f>
        <v>44.235370523285141</v>
      </c>
      <c r="G8" s="19">
        <f>BIC_ATANH</f>
        <v>46.174997122437141</v>
      </c>
      <c r="H8" s="1">
        <f>RANK($E8,$E$7:$E$11)</f>
        <v>1</v>
      </c>
      <c r="I8" s="1">
        <f>RANK($F8,$F$7:$F$11)</f>
        <v>1</v>
      </c>
      <c r="J8" s="1">
        <f>RANK($G8,$G$7:$G$11)</f>
        <v>1</v>
      </c>
      <c r="K8" s="1">
        <f>SUM(H8:J8)</f>
        <v>3</v>
      </c>
    </row>
    <row r="9" spans="1:11">
      <c r="B9" s="6" t="s">
        <v>64</v>
      </c>
      <c r="C9" s="7">
        <f>DBTT_Burr</f>
        <v>10.741610522571808</v>
      </c>
      <c r="D9" s="20"/>
      <c r="E9" s="17">
        <f>RMSE_Burr</f>
        <v>2.3304346441977795</v>
      </c>
      <c r="F9" s="18">
        <f>AIC_BURR</f>
        <v>24.853130156695293</v>
      </c>
      <c r="G9" s="19">
        <f>BIC_BURR</f>
        <v>26.792756755847293</v>
      </c>
      <c r="H9" s="1">
        <f>RANK($E9,$E$7:$E$11)</f>
        <v>4</v>
      </c>
      <c r="I9" s="1">
        <f>RANK($F9,$F$7:$F$11)</f>
        <v>3</v>
      </c>
      <c r="J9" s="1">
        <f>RANK($G9,$G$7:$G$11)</f>
        <v>3</v>
      </c>
      <c r="K9" s="1">
        <f>SUM(H9:J9)</f>
        <v>10</v>
      </c>
    </row>
    <row r="10" spans="1:11">
      <c r="B10" s="6" t="s">
        <v>65</v>
      </c>
      <c r="C10" s="7">
        <f>DBTT_ARCTAN</f>
        <v>11.116573801468007</v>
      </c>
      <c r="D10" s="7">
        <f>C_ARCTAN</f>
        <v>20.604250049917852</v>
      </c>
      <c r="E10" s="17">
        <f>RMSE_ARCTAN</f>
        <v>4.0842991089200185</v>
      </c>
      <c r="F10" s="18">
        <f>AIC_ARCTAN</f>
        <v>22.853130156695293</v>
      </c>
      <c r="G10" s="19">
        <f>BIC_ARCTAN</f>
        <v>24.307850106059295</v>
      </c>
      <c r="H10" s="1">
        <f>RANK($E10,$E$7:$E$11)</f>
        <v>2</v>
      </c>
      <c r="I10" s="1">
        <f>RANK($F10,$F$7:$F$11)</f>
        <v>5</v>
      </c>
      <c r="J10" s="1">
        <f>RANK($G10,$G$7:$G$11)</f>
        <v>5</v>
      </c>
      <c r="K10" s="1">
        <f>SUM(H10:J10)</f>
        <v>12</v>
      </c>
    </row>
    <row r="11" spans="1:11" ht="15.75" thickBot="1">
      <c r="B11" s="8" t="s">
        <v>66</v>
      </c>
      <c r="C11" s="9">
        <f>DBTT_KASYM</f>
        <v>11.199490733868128</v>
      </c>
      <c r="D11" s="9">
        <f>C_KASYM</f>
        <v>21.898973760634373</v>
      </c>
      <c r="E11" s="21">
        <f>RMSE_KASYM</f>
        <v>2.8352805011766988</v>
      </c>
      <c r="F11" s="22">
        <f>AIC_KASYM</f>
        <v>29.55919611856088</v>
      </c>
      <c r="G11" s="23">
        <f>BIC_KASYM</f>
        <v>31.498822717712883</v>
      </c>
      <c r="H11" s="1">
        <f>RANK($E11,$E$7:$E$11)</f>
        <v>3</v>
      </c>
      <c r="I11" s="1">
        <f>RANK($F11,$F$7:$F$11)</f>
        <v>2</v>
      </c>
      <c r="J11" s="1">
        <f>RANK($G11,$G$7:$G$11)</f>
        <v>2</v>
      </c>
      <c r="K11" s="1">
        <f>SUM(H11:J11)</f>
        <v>7</v>
      </c>
    </row>
    <row r="12" spans="1:11">
      <c r="B12" s="12" t="s">
        <v>29</v>
      </c>
      <c r="C12" s="24">
        <f>AVERAGE(DBTT_TANH,DBTT_ATANH,DBTT_Burr,DBTT_ARCTAN,DBTT_KASYM)</f>
        <v>9.5893951454672965</v>
      </c>
      <c r="D12" s="25">
        <f>AVERAGE(C_TANH,C_ATANH,C_ARCTAN,C_KASYM)</f>
        <v>24.359883937065984</v>
      </c>
      <c r="E12" s="26">
        <f>AVERAGE(RMSE_TANH,RMSE_ATANH,RMSE_Burr,RMSE_ARCTAN,RMSE_KASYM)</f>
        <v>3.3413245493802557</v>
      </c>
      <c r="H12" s="11"/>
      <c r="I12" s="11"/>
      <c r="J12" s="11"/>
      <c r="K12" s="11"/>
    </row>
    <row r="13" spans="1:11" ht="15.75" thickBot="1">
      <c r="B13" s="13" t="s">
        <v>30</v>
      </c>
      <c r="C13" s="27">
        <f>STDEV(DBTT_TANH,DBTT_ATANH,DBTT_Burr,DBTT_ARCTAN,DBTT_KASYM)</f>
        <v>3.3446817627480185</v>
      </c>
      <c r="D13" s="27">
        <f>STDEV(C_TANH,C_ATANH,C_ARCTAN,C_KASYM)</f>
        <v>4.2344509705377114</v>
      </c>
      <c r="E13" s="28">
        <f>STDEV(RMSE_TANH,RMSE_ATANH,RMSE_Burr,RMSE_ARCTAN,RMSE_KASYM)</f>
        <v>1.28605440188189</v>
      </c>
      <c r="H13" s="11"/>
      <c r="I13" s="11"/>
      <c r="J13" s="11"/>
      <c r="K13" s="11"/>
    </row>
    <row r="14" spans="1:11" ht="15.75" thickBot="1"/>
    <row r="15" spans="1:11" ht="19.5" thickBot="1">
      <c r="A15" s="196" t="s">
        <v>73</v>
      </c>
      <c r="B15" s="197"/>
      <c r="C15" s="197"/>
      <c r="D15" s="197"/>
      <c r="E15" s="197"/>
      <c r="F15" s="197"/>
      <c r="G15" s="197"/>
      <c r="H15" s="198"/>
    </row>
    <row r="16" spans="1:11" ht="15.75" thickBot="1"/>
    <row r="17" spans="1:8" ht="18">
      <c r="A17" s="29" t="s">
        <v>26</v>
      </c>
      <c r="B17" s="43" t="s">
        <v>31</v>
      </c>
      <c r="C17" s="43" t="s">
        <v>28</v>
      </c>
      <c r="D17" s="43" t="s">
        <v>57</v>
      </c>
      <c r="E17" s="43" t="s">
        <v>59</v>
      </c>
      <c r="F17" s="192" t="s">
        <v>58</v>
      </c>
      <c r="G17" s="192" t="s">
        <v>50</v>
      </c>
      <c r="H17" s="194" t="s">
        <v>51</v>
      </c>
    </row>
    <row r="18" spans="1:8" ht="15.75" thickBot="1">
      <c r="A18" s="30" t="s">
        <v>27</v>
      </c>
      <c r="B18" s="44" t="s">
        <v>4</v>
      </c>
      <c r="C18" s="44" t="s">
        <v>4</v>
      </c>
      <c r="D18" s="44" t="s">
        <v>68</v>
      </c>
      <c r="E18" s="44" t="s">
        <v>4</v>
      </c>
      <c r="F18" s="193"/>
      <c r="G18" s="193"/>
      <c r="H18" s="195"/>
    </row>
    <row r="19" spans="1:8">
      <c r="A19" s="29" t="s">
        <v>62</v>
      </c>
      <c r="B19" s="24">
        <f>DBTT_TANH</f>
        <v>11.27188439101162</v>
      </c>
      <c r="C19" s="24">
        <f>C_TANH</f>
        <v>30.142866254820387</v>
      </c>
      <c r="D19" s="32"/>
      <c r="E19" s="33"/>
      <c r="F19" s="32"/>
      <c r="G19" s="32"/>
      <c r="H19" s="34"/>
    </row>
    <row r="20" spans="1:8">
      <c r="A20" s="31" t="s">
        <v>63</v>
      </c>
      <c r="B20" s="35">
        <f>DBTT_ATANH</f>
        <v>3.6174162784169184</v>
      </c>
      <c r="C20" s="35">
        <f>C_ATANH</f>
        <v>24.793445682891321</v>
      </c>
      <c r="D20" s="36">
        <f>D_ATANH</f>
        <v>0.30991806210750178</v>
      </c>
      <c r="E20" s="37"/>
      <c r="F20" s="38"/>
      <c r="G20" s="38"/>
      <c r="H20" s="39"/>
    </row>
    <row r="21" spans="1:8">
      <c r="A21" s="31" t="s">
        <v>64</v>
      </c>
      <c r="B21" s="37"/>
      <c r="C21" s="37"/>
      <c r="D21" s="38"/>
      <c r="E21" s="35">
        <f>T0_Burr</f>
        <v>1.8397013226769554E-4</v>
      </c>
      <c r="F21" s="36">
        <f>k_Burr</f>
        <v>5.8146660059153775E-2</v>
      </c>
      <c r="G21" s="36">
        <f>m_Burr</f>
        <v>1.6163011246980374</v>
      </c>
      <c r="H21" s="39"/>
    </row>
    <row r="22" spans="1:8">
      <c r="A22" s="31" t="s">
        <v>65</v>
      </c>
      <c r="B22" s="35">
        <f>DBTT_ARCTAN</f>
        <v>11.116573801468007</v>
      </c>
      <c r="C22" s="35">
        <f>C_ARCTAN</f>
        <v>20.604250049917852</v>
      </c>
      <c r="D22" s="38"/>
      <c r="E22" s="37"/>
      <c r="F22" s="38"/>
      <c r="G22" s="38"/>
      <c r="H22" s="39"/>
    </row>
    <row r="23" spans="1:8" ht="15.75" thickBot="1">
      <c r="A23" s="30" t="s">
        <v>66</v>
      </c>
      <c r="B23" s="40"/>
      <c r="C23" s="27">
        <f>C_KASYM</f>
        <v>21.898973760634373</v>
      </c>
      <c r="D23" s="41"/>
      <c r="E23" s="27">
        <f>T0_KASYM</f>
        <v>11.132950816007948</v>
      </c>
      <c r="F23" s="41"/>
      <c r="G23" s="41"/>
      <c r="H23" s="45">
        <f>p_KASYM</f>
        <v>1.0060862594443409</v>
      </c>
    </row>
  </sheetData>
  <sheetProtection sheet="1" scenarios="1"/>
  <mergeCells count="8">
    <mergeCell ref="F17:F18"/>
    <mergeCell ref="G17:G18"/>
    <mergeCell ref="H17:H18"/>
    <mergeCell ref="A15:H15"/>
    <mergeCell ref="A1:H1"/>
    <mergeCell ref="G5:G6"/>
    <mergeCell ref="F5:F6"/>
    <mergeCell ref="A3:B3"/>
  </mergeCells>
  <conditionalFormatting sqref="F7:F11">
    <cfRule type="top10" dxfId="7" priority="6" rank="1"/>
    <cfRule type="top10" dxfId="6" priority="10" bottom="1" rank="1"/>
  </conditionalFormatting>
  <conditionalFormatting sqref="G7:G11">
    <cfRule type="top10" dxfId="5" priority="5" rank="1"/>
    <cfRule type="top10" dxfId="4" priority="9" bottom="1" rank="1"/>
  </conditionalFormatting>
  <conditionalFormatting sqref="E7:E11">
    <cfRule type="top10" dxfId="3" priority="7" rank="1"/>
    <cfRule type="top10" dxfId="2" priority="8" bottom="1" rank="1"/>
  </conditionalFormatting>
  <conditionalFormatting sqref="B7:B11">
    <cfRule type="expression" dxfId="1" priority="24">
      <formula>$K7=MIN($K$7:$K$11)</formula>
    </cfRule>
    <cfRule type="expression" dxfId="0" priority="25">
      <formula>$K7=MAX($K$7:$K$11)</formula>
    </cfRule>
  </conditionalFormatting>
  <printOptions horizontalCentered="1"/>
  <pageMargins left="0.2" right="0.2" top="0.3" bottom="0.25" header="0.3" footer="0.3"/>
  <pageSetup scale="115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49" r:id="rId4" name="Button 1">
              <controlPr defaultSize="0" print="0" autoFill="0" autoPict="0" macro="[0]!Print_results">
                <anchor moveWithCells="1" sizeWithCells="1">
                  <from>
                    <xdr:col>8</xdr:col>
                    <xdr:colOff>276225</xdr:colOff>
                    <xdr:row>0</xdr:row>
                    <xdr:rowOff>9525</xdr:rowOff>
                  </from>
                  <to>
                    <xdr:col>10</xdr:col>
                    <xdr:colOff>180975</xdr:colOff>
                    <xdr:row>2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EAF553-9CEB-4DEB-B218-6B825B63E60D}">
  <sheetPr codeName="Sheet10"/>
  <dimension ref="A1:I55"/>
  <sheetViews>
    <sheetView workbookViewId="0">
      <selection activeCell="H14" sqref="H14"/>
    </sheetView>
  </sheetViews>
  <sheetFormatPr defaultColWidth="8.85546875" defaultRowHeight="15"/>
  <cols>
    <col min="1" max="1" width="8.85546875" style="42"/>
    <col min="2" max="3" width="9.140625" style="42" customWidth="1"/>
    <col min="4" max="4" width="9.42578125" style="42" bestFit="1" customWidth="1"/>
    <col min="5" max="6" width="9.140625" style="42" customWidth="1"/>
    <col min="7" max="16384" width="8.85546875" style="42"/>
  </cols>
  <sheetData>
    <row r="1" spans="1:9" ht="22.5" thickBot="1">
      <c r="A1" s="199" t="s">
        <v>72</v>
      </c>
      <c r="B1" s="200"/>
      <c r="C1" s="200"/>
      <c r="D1" s="200"/>
      <c r="E1" s="200"/>
      <c r="F1" s="200"/>
      <c r="G1" s="200"/>
      <c r="H1" s="201"/>
    </row>
    <row r="3" spans="1:9">
      <c r="A3" s="202" t="s">
        <v>67</v>
      </c>
      <c r="B3" s="202"/>
      <c r="C3" s="10" t="str">
        <f>Dataset_ID</f>
        <v>Sample dataset #1 (X52 steel) - KV</v>
      </c>
    </row>
    <row r="4" spans="1:9" ht="15.75" thickBot="1"/>
    <row r="5" spans="1:9">
      <c r="A5" s="29" t="str">
        <f>'Input data'!B1</f>
        <v>KV</v>
      </c>
      <c r="B5" s="203" t="s">
        <v>71</v>
      </c>
      <c r="C5" s="203"/>
      <c r="D5" s="203"/>
      <c r="E5" s="203"/>
      <c r="F5" s="203"/>
      <c r="G5" s="164" t="s">
        <v>29</v>
      </c>
      <c r="H5" s="166" t="s">
        <v>30</v>
      </c>
    </row>
    <row r="6" spans="1:9" ht="15.75" thickBot="1">
      <c r="A6" s="30" t="str">
        <f>'Input data'!B2</f>
        <v>(J)</v>
      </c>
      <c r="B6" s="165" t="s">
        <v>62</v>
      </c>
      <c r="C6" s="165" t="s">
        <v>63</v>
      </c>
      <c r="D6" s="165" t="s">
        <v>64</v>
      </c>
      <c r="E6" s="165" t="s">
        <v>65</v>
      </c>
      <c r="F6" s="165" t="s">
        <v>66</v>
      </c>
      <c r="G6" s="165" t="s">
        <v>32</v>
      </c>
      <c r="H6" s="167" t="s">
        <v>32</v>
      </c>
    </row>
    <row r="7" spans="1:9">
      <c r="A7" s="175">
        <f>IF(ISBLANK(HT!$F41),"",HT!$F41)</f>
        <v>28</v>
      </c>
      <c r="B7" s="173">
        <f>HT!$G$41</f>
        <v>3.1379318068395694</v>
      </c>
      <c r="C7" s="7">
        <f>AHT!$G$41</f>
        <v>-2.8358497475791431</v>
      </c>
      <c r="D7" s="177">
        <f>BUR!$H$41</f>
        <v>2.687806458077763</v>
      </c>
      <c r="E7" s="178">
        <f>ACT!$G$41</f>
        <v>5.3549233253797199</v>
      </c>
      <c r="F7" s="178">
        <f>KHT!$H$41</f>
        <v>4.5224233692894362</v>
      </c>
      <c r="G7" s="181">
        <f>IF(ISBLANK(HT!$F41),"",AVERAGE($B7:$F7))</f>
        <v>2.5734470424014693</v>
      </c>
      <c r="H7" s="182">
        <f>IF(ISBLANK(HT!$F41),"",STDEV($B7:$F7))</f>
        <v>3.2065297411247933</v>
      </c>
      <c r="I7" s="1">
        <f>SUM(G7:H7)</f>
        <v>5.7799767835262621</v>
      </c>
    </row>
    <row r="8" spans="1:9" ht="15.75" thickBot="1">
      <c r="A8" s="176">
        <f>IF(ISBLANK(HT!$F42),"",HT!$F42)</f>
        <v>41</v>
      </c>
      <c r="B8" s="174">
        <f>HT!$G$42</f>
        <v>14.441789814291557</v>
      </c>
      <c r="C8" s="9">
        <f>AHT!$G$42</f>
        <v>6.4344733651187491</v>
      </c>
      <c r="D8" s="179">
        <f>BUR!$H$42</f>
        <v>13.975888028577737</v>
      </c>
      <c r="E8" s="180">
        <f>ACT!$G$42</f>
        <v>13.295126168418781</v>
      </c>
      <c r="F8" s="180">
        <f>KHT!$H$42</f>
        <v>13.630669709256653</v>
      </c>
      <c r="G8" s="183">
        <f>IF(ISBLANK(HT!$F42),"",AVERAGE($B8:$F8))</f>
        <v>12.355589417132695</v>
      </c>
      <c r="H8" s="184">
        <f>IF(ISBLANK(HT!$F42),"",STDEV($B8:$F8))</f>
        <v>3.3371310300598753</v>
      </c>
      <c r="I8" s="1">
        <f>SUM(G8:H8)</f>
        <v>15.692720447192571</v>
      </c>
    </row>
    <row r="10" spans="1:9">
      <c r="A10"/>
      <c r="B10"/>
      <c r="C10"/>
      <c r="D10"/>
      <c r="E10"/>
      <c r="F10"/>
      <c r="G10"/>
      <c r="H10"/>
    </row>
    <row r="11" spans="1:9">
      <c r="A11"/>
      <c r="B11"/>
      <c r="C11"/>
      <c r="D11"/>
      <c r="E11"/>
      <c r="F11"/>
      <c r="G11"/>
      <c r="H11"/>
    </row>
    <row r="12" spans="1:9">
      <c r="A12"/>
      <c r="B12"/>
      <c r="C12"/>
      <c r="D12"/>
      <c r="E12"/>
      <c r="F12"/>
      <c r="G12"/>
      <c r="H12"/>
    </row>
    <row r="13" spans="1:9">
      <c r="A13"/>
      <c r="B13"/>
      <c r="C13"/>
      <c r="D13"/>
      <c r="E13"/>
      <c r="F13"/>
      <c r="G13"/>
      <c r="H13"/>
    </row>
    <row r="14" spans="1:9">
      <c r="A14"/>
      <c r="B14"/>
      <c r="C14"/>
      <c r="D14"/>
      <c r="E14"/>
      <c r="F14"/>
      <c r="G14"/>
      <c r="H14"/>
    </row>
    <row r="15" spans="1:9">
      <c r="A15"/>
      <c r="B15"/>
      <c r="C15"/>
      <c r="D15"/>
      <c r="E15"/>
      <c r="F15"/>
      <c r="G15"/>
      <c r="H15"/>
    </row>
    <row r="16" spans="1:9">
      <c r="A16"/>
      <c r="B16"/>
      <c r="C16"/>
      <c r="D16"/>
      <c r="E16"/>
      <c r="F16"/>
      <c r="G16"/>
      <c r="H16"/>
    </row>
    <row r="17" spans="1:8">
      <c r="A17"/>
      <c r="B17"/>
      <c r="C17"/>
      <c r="D17"/>
      <c r="E17"/>
      <c r="F17"/>
      <c r="G17"/>
      <c r="H17"/>
    </row>
    <row r="18" spans="1:8">
      <c r="A18"/>
      <c r="B18"/>
      <c r="C18"/>
      <c r="D18"/>
      <c r="E18"/>
      <c r="F18"/>
      <c r="G18"/>
      <c r="H18"/>
    </row>
    <row r="19" spans="1:8">
      <c r="A19"/>
      <c r="B19"/>
      <c r="C19"/>
      <c r="D19"/>
      <c r="E19"/>
      <c r="F19"/>
      <c r="G19"/>
      <c r="H19"/>
    </row>
    <row r="20" spans="1:8">
      <c r="A20"/>
      <c r="B20"/>
      <c r="C20"/>
      <c r="D20"/>
      <c r="E20"/>
      <c r="F20"/>
      <c r="G20"/>
      <c r="H20"/>
    </row>
    <row r="21" spans="1:8">
      <c r="A21"/>
      <c r="B21"/>
      <c r="C21"/>
      <c r="D21"/>
      <c r="E21"/>
      <c r="F21"/>
      <c r="G21"/>
      <c r="H21"/>
    </row>
    <row r="22" spans="1:8">
      <c r="A22"/>
      <c r="B22"/>
      <c r="C22"/>
      <c r="D22"/>
      <c r="E22"/>
      <c r="F22"/>
      <c r="G22"/>
      <c r="H22"/>
    </row>
    <row r="23" spans="1:8">
      <c r="A23"/>
      <c r="B23"/>
      <c r="C23"/>
      <c r="D23"/>
      <c r="E23"/>
      <c r="F23"/>
      <c r="G23"/>
      <c r="H23"/>
    </row>
    <row r="24" spans="1:8">
      <c r="A24"/>
      <c r="B24"/>
      <c r="C24"/>
      <c r="D24"/>
      <c r="E24"/>
      <c r="F24"/>
      <c r="G24"/>
      <c r="H24"/>
    </row>
    <row r="25" spans="1:8">
      <c r="A25"/>
      <c r="B25"/>
      <c r="C25"/>
      <c r="D25"/>
      <c r="E25"/>
      <c r="F25"/>
      <c r="G25"/>
      <c r="H25"/>
    </row>
    <row r="26" spans="1:8">
      <c r="A26"/>
      <c r="B26"/>
      <c r="C26"/>
      <c r="D26"/>
      <c r="E26"/>
      <c r="F26"/>
      <c r="G26"/>
      <c r="H26"/>
    </row>
    <row r="27" spans="1:8">
      <c r="A27"/>
      <c r="B27"/>
      <c r="C27"/>
      <c r="D27"/>
      <c r="E27"/>
      <c r="F27"/>
      <c r="G27"/>
      <c r="H27"/>
    </row>
    <row r="28" spans="1:8">
      <c r="A28"/>
      <c r="B28"/>
      <c r="C28"/>
      <c r="D28"/>
      <c r="E28"/>
      <c r="F28"/>
      <c r="G28"/>
      <c r="H28"/>
    </row>
    <row r="29" spans="1:8">
      <c r="A29"/>
      <c r="B29"/>
      <c r="C29"/>
      <c r="D29"/>
      <c r="E29"/>
      <c r="F29"/>
      <c r="G29"/>
      <c r="H29"/>
    </row>
    <row r="30" spans="1:8">
      <c r="A30"/>
      <c r="B30"/>
      <c r="C30"/>
      <c r="D30"/>
      <c r="E30"/>
      <c r="F30"/>
      <c r="G30"/>
      <c r="H30"/>
    </row>
    <row r="31" spans="1:8">
      <c r="A31"/>
      <c r="B31"/>
      <c r="C31"/>
      <c r="D31"/>
      <c r="E31"/>
      <c r="F31"/>
      <c r="G31"/>
      <c r="H31"/>
    </row>
    <row r="32" spans="1:8">
      <c r="A32"/>
      <c r="B32"/>
      <c r="C32"/>
      <c r="D32"/>
      <c r="E32"/>
      <c r="F32"/>
      <c r="G32"/>
      <c r="H32"/>
    </row>
    <row r="33" spans="1:8">
      <c r="A33"/>
      <c r="B33"/>
      <c r="C33"/>
      <c r="D33"/>
      <c r="E33"/>
      <c r="F33"/>
      <c r="G33"/>
      <c r="H33"/>
    </row>
    <row r="34" spans="1:8">
      <c r="A34"/>
      <c r="B34"/>
      <c r="C34"/>
      <c r="D34"/>
      <c r="E34"/>
      <c r="F34"/>
      <c r="G34"/>
      <c r="H34"/>
    </row>
    <row r="35" spans="1:8">
      <c r="A35"/>
      <c r="B35"/>
      <c r="C35"/>
      <c r="D35"/>
      <c r="E35"/>
      <c r="F35"/>
      <c r="G35"/>
      <c r="H35"/>
    </row>
    <row r="36" spans="1:8">
      <c r="A36"/>
      <c r="B36"/>
      <c r="C36"/>
      <c r="D36"/>
      <c r="E36"/>
      <c r="F36"/>
      <c r="G36"/>
      <c r="H36"/>
    </row>
    <row r="37" spans="1:8">
      <c r="A37"/>
      <c r="B37"/>
      <c r="C37"/>
      <c r="D37"/>
      <c r="E37"/>
      <c r="F37"/>
      <c r="G37"/>
      <c r="H37"/>
    </row>
    <row r="38" spans="1:8">
      <c r="A38"/>
      <c r="B38"/>
      <c r="C38"/>
      <c r="D38"/>
      <c r="E38"/>
      <c r="F38"/>
      <c r="G38"/>
      <c r="H38"/>
    </row>
    <row r="39" spans="1:8">
      <c r="A39"/>
      <c r="B39"/>
      <c r="C39"/>
      <c r="D39"/>
      <c r="E39"/>
      <c r="F39"/>
      <c r="G39"/>
      <c r="H39"/>
    </row>
    <row r="40" spans="1:8">
      <c r="A40"/>
      <c r="B40"/>
      <c r="C40"/>
      <c r="D40"/>
      <c r="E40"/>
      <c r="F40"/>
      <c r="G40"/>
      <c r="H40"/>
    </row>
    <row r="41" spans="1:8">
      <c r="A41"/>
      <c r="B41"/>
      <c r="C41"/>
      <c r="D41"/>
      <c r="E41"/>
      <c r="F41"/>
      <c r="G41"/>
      <c r="H41"/>
    </row>
    <row r="42" spans="1:8">
      <c r="A42"/>
      <c r="B42"/>
      <c r="C42"/>
      <c r="D42"/>
      <c r="E42"/>
      <c r="F42"/>
      <c r="G42"/>
      <c r="H42"/>
    </row>
    <row r="43" spans="1:8">
      <c r="A43"/>
      <c r="B43"/>
      <c r="C43"/>
      <c r="D43"/>
      <c r="E43"/>
      <c r="F43"/>
      <c r="G43"/>
      <c r="H43"/>
    </row>
    <row r="44" spans="1:8">
      <c r="A44"/>
      <c r="B44"/>
      <c r="C44"/>
      <c r="D44"/>
      <c r="E44"/>
      <c r="F44"/>
      <c r="G44"/>
      <c r="H44"/>
    </row>
    <row r="45" spans="1:8">
      <c r="A45"/>
      <c r="B45"/>
      <c r="C45"/>
      <c r="D45"/>
      <c r="E45"/>
      <c r="F45"/>
      <c r="G45"/>
      <c r="H45"/>
    </row>
    <row r="46" spans="1:8">
      <c r="A46"/>
      <c r="B46"/>
      <c r="C46"/>
      <c r="D46"/>
      <c r="E46"/>
      <c r="F46"/>
      <c r="G46"/>
      <c r="H46"/>
    </row>
    <row r="47" spans="1:8">
      <c r="A47"/>
      <c r="B47"/>
      <c r="C47"/>
      <c r="D47"/>
      <c r="E47"/>
      <c r="F47"/>
      <c r="G47"/>
      <c r="H47"/>
    </row>
    <row r="48" spans="1:8">
      <c r="A48"/>
      <c r="B48"/>
      <c r="C48"/>
      <c r="D48"/>
      <c r="E48"/>
      <c r="F48"/>
      <c r="G48"/>
      <c r="H48"/>
    </row>
    <row r="49" spans="1:8">
      <c r="A49"/>
      <c r="B49"/>
      <c r="C49"/>
      <c r="D49"/>
      <c r="E49"/>
      <c r="F49"/>
      <c r="G49"/>
      <c r="H49"/>
    </row>
    <row r="50" spans="1:8">
      <c r="A50"/>
      <c r="B50"/>
      <c r="C50"/>
      <c r="D50"/>
      <c r="E50"/>
      <c r="F50"/>
      <c r="G50"/>
      <c r="H50"/>
    </row>
    <row r="51" spans="1:8">
      <c r="A51"/>
      <c r="B51"/>
      <c r="C51"/>
      <c r="D51"/>
      <c r="E51"/>
      <c r="F51"/>
      <c r="G51"/>
      <c r="H51"/>
    </row>
    <row r="52" spans="1:8">
      <c r="A52"/>
      <c r="B52"/>
      <c r="C52"/>
      <c r="D52"/>
      <c r="E52"/>
      <c r="F52"/>
      <c r="G52"/>
      <c r="H52"/>
    </row>
    <row r="53" spans="1:8">
      <c r="A53"/>
      <c r="B53"/>
      <c r="C53"/>
      <c r="D53"/>
      <c r="E53"/>
      <c r="F53"/>
      <c r="G53"/>
      <c r="H53"/>
    </row>
    <row r="54" spans="1:8">
      <c r="A54"/>
      <c r="B54"/>
      <c r="C54"/>
      <c r="D54"/>
      <c r="E54"/>
      <c r="F54"/>
      <c r="G54"/>
      <c r="H54"/>
    </row>
    <row r="55" spans="1:8">
      <c r="A55"/>
      <c r="B55"/>
      <c r="C55"/>
      <c r="D55"/>
      <c r="E55"/>
      <c r="F55"/>
      <c r="G55"/>
      <c r="H55"/>
    </row>
  </sheetData>
  <sheetProtection sheet="1" scenarios="1"/>
  <mergeCells count="3">
    <mergeCell ref="B5:F5"/>
    <mergeCell ref="A1:H1"/>
    <mergeCell ref="A3:B3"/>
  </mergeCells>
  <printOptions horizontalCentered="1"/>
  <pageMargins left="0.2" right="0.2" top="0.8" bottom="0.25" header="0.3" footer="0.3"/>
  <pageSetup scale="115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Print_char_T">
                <anchor moveWithCells="1" sizeWithCells="1">
                  <from>
                    <xdr:col>8</xdr:col>
                    <xdr:colOff>276225</xdr:colOff>
                    <xdr:row>0</xdr:row>
                    <xdr:rowOff>9525</xdr:rowOff>
                  </from>
                  <to>
                    <xdr:col>9</xdr:col>
                    <xdr:colOff>333375</xdr:colOff>
                    <xdr:row>2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8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67</vt:i4>
      </vt:variant>
    </vt:vector>
  </HeadingPairs>
  <TitlesOfParts>
    <vt:vector size="76" baseType="lpstr">
      <vt:lpstr>Input data</vt:lpstr>
      <vt:lpstr>HT</vt:lpstr>
      <vt:lpstr>AHT</vt:lpstr>
      <vt:lpstr>BUR</vt:lpstr>
      <vt:lpstr>ACT</vt:lpstr>
      <vt:lpstr>KHT</vt:lpstr>
      <vt:lpstr>Summary of Results</vt:lpstr>
      <vt:lpstr>Characteristic Temperatures</vt:lpstr>
      <vt:lpstr>Comparison Fitting Curves</vt:lpstr>
      <vt:lpstr>A</vt:lpstr>
      <vt:lpstr>AIC_ARCTAN</vt:lpstr>
      <vt:lpstr>AIC_ATANH</vt:lpstr>
      <vt:lpstr>AIC_BURR</vt:lpstr>
      <vt:lpstr>AIC_KASYM</vt:lpstr>
      <vt:lpstr>AIC_TANH</vt:lpstr>
      <vt:lpstr>B</vt:lpstr>
      <vt:lpstr>BIC_ARCTAN</vt:lpstr>
      <vt:lpstr>BIC_ATANH</vt:lpstr>
      <vt:lpstr>BIC_BURR</vt:lpstr>
      <vt:lpstr>BIC_KASYM</vt:lpstr>
      <vt:lpstr>BIC_TANH</vt:lpstr>
      <vt:lpstr>C_ARCTAN</vt:lpstr>
      <vt:lpstr>C_ATANH</vt:lpstr>
      <vt:lpstr>C_KASYM</vt:lpstr>
      <vt:lpstr>C_TANH</vt:lpstr>
      <vt:lpstr>D_ATANH</vt:lpstr>
      <vt:lpstr>Dataset_ID</vt:lpstr>
      <vt:lpstr>DBTT_ARCTAN</vt:lpstr>
      <vt:lpstr>DBTT_ATANH</vt:lpstr>
      <vt:lpstr>DBTT_Burr</vt:lpstr>
      <vt:lpstr>DBTT_KASYM</vt:lpstr>
      <vt:lpstr>DBTT_TANH</vt:lpstr>
      <vt:lpstr>DBTT1_KASYM</vt:lpstr>
      <vt:lpstr>DBTT2_KASYM</vt:lpstr>
      <vt:lpstr>df_ARCTAN</vt:lpstr>
      <vt:lpstr>df_ATANH</vt:lpstr>
      <vt:lpstr>df_Burr</vt:lpstr>
      <vt:lpstr>df_KASYM</vt:lpstr>
      <vt:lpstr>df_TANH</vt:lpstr>
      <vt:lpstr>Fit_ARCTAN</vt:lpstr>
      <vt:lpstr>Fit_ATANH</vt:lpstr>
      <vt:lpstr>Fit_Burr</vt:lpstr>
      <vt:lpstr>Fit_index</vt:lpstr>
      <vt:lpstr>Fit_KASYM</vt:lpstr>
      <vt:lpstr>Fit_TANH</vt:lpstr>
      <vt:lpstr>Fit1_KASYM</vt:lpstr>
      <vt:lpstr>Fit2_KASYM</vt:lpstr>
      <vt:lpstr>k_Burr</vt:lpstr>
      <vt:lpstr>KV_data</vt:lpstr>
      <vt:lpstr>LE_data</vt:lpstr>
      <vt:lpstr>LS</vt:lpstr>
      <vt:lpstr>m_Burr</vt:lpstr>
      <vt:lpstr>p_KASYM</vt:lpstr>
      <vt:lpstr>'Characteristic Temperatures'!Print_Area</vt:lpstr>
      <vt:lpstr>'Summary of Results'!Print_Area</vt:lpstr>
      <vt:lpstr>Residual_ARCTAN</vt:lpstr>
      <vt:lpstr>Residual_ATANH</vt:lpstr>
      <vt:lpstr>Residual_KASYM</vt:lpstr>
      <vt:lpstr>Residual_TANH</vt:lpstr>
      <vt:lpstr>Residuals_Burr</vt:lpstr>
      <vt:lpstr>RMSE_ARCTAN</vt:lpstr>
      <vt:lpstr>RMSE_ATANH</vt:lpstr>
      <vt:lpstr>RMSE_Burr</vt:lpstr>
      <vt:lpstr>RMSE_KASYM</vt:lpstr>
      <vt:lpstr>RMSE_TANH</vt:lpstr>
      <vt:lpstr>SFA_data</vt:lpstr>
      <vt:lpstr>SSR_ARCTAN</vt:lpstr>
      <vt:lpstr>SSR_ATANH</vt:lpstr>
      <vt:lpstr>SSR_Burr</vt:lpstr>
      <vt:lpstr>SSR_KASYM</vt:lpstr>
      <vt:lpstr>SSR_TANH</vt:lpstr>
      <vt:lpstr>T0_Burr</vt:lpstr>
      <vt:lpstr>T0_KASYM</vt:lpstr>
      <vt:lpstr>Temperatures</vt:lpstr>
      <vt:lpstr>US</vt:lpstr>
      <vt:lpstr>Xi_function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Charpy Test Result Regression</dc:title>
  <dc:creator>Lucon, Enrico (Fed)</dc:creator>
  <cp:lastModifiedBy>Enrico Lucon</cp:lastModifiedBy>
  <cp:lastPrinted>2021-02-14T18:19:59Z</cp:lastPrinted>
  <dcterms:created xsi:type="dcterms:W3CDTF">2020-05-30T21:52:40Z</dcterms:created>
  <dcterms:modified xsi:type="dcterms:W3CDTF">2021-02-22T15:19:10Z</dcterms:modified>
</cp:coreProperties>
</file>